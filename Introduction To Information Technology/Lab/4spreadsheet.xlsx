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Ayu\CSIT\1st Sem\IIT\"/>
    </mc:Choice>
  </mc:AlternateContent>
  <xr:revisionPtr revIDLastSave="0" documentId="13_ncr:1_{DFFAEAB4-AED8-42D2-B31C-2716F40F5B85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P5" i="7"/>
  <c r="P6" i="7"/>
  <c r="P7" i="7"/>
  <c r="P8" i="7"/>
  <c r="P9" i="7"/>
  <c r="P10" i="7"/>
  <c r="P11" i="7"/>
  <c r="P12" i="7"/>
  <c r="P13" i="7"/>
  <c r="P14" i="7"/>
  <c r="P15" i="7"/>
  <c r="P16" i="7"/>
  <c r="P3" i="7"/>
  <c r="P4" i="7"/>
  <c r="O5" i="7"/>
  <c r="O6" i="7"/>
  <c r="O7" i="7"/>
  <c r="O8" i="7"/>
  <c r="O9" i="7"/>
  <c r="O10" i="7"/>
  <c r="O11" i="7"/>
  <c r="O12" i="7"/>
  <c r="O13" i="7"/>
  <c r="O14" i="7"/>
  <c r="O15" i="7"/>
  <c r="O16" i="7"/>
  <c r="O3" i="7"/>
  <c r="O4" i="7"/>
  <c r="N5" i="7"/>
  <c r="N6" i="7"/>
  <c r="N7" i="7"/>
  <c r="N8" i="7"/>
  <c r="N9" i="7"/>
  <c r="N10" i="7"/>
  <c r="N11" i="7"/>
  <c r="N12" i="7"/>
  <c r="N13" i="7"/>
  <c r="N14" i="7"/>
  <c r="N15" i="7"/>
  <c r="N16" i="7"/>
  <c r="N3" i="7"/>
  <c r="N4" i="7"/>
  <c r="L5" i="7"/>
  <c r="L6" i="7"/>
  <c r="L7" i="7"/>
  <c r="L8" i="7"/>
  <c r="L9" i="7"/>
  <c r="L10" i="7"/>
  <c r="L11" i="7"/>
  <c r="L12" i="7"/>
  <c r="L13" i="7"/>
  <c r="L14" i="7"/>
  <c r="L15" i="7"/>
  <c r="L16" i="7"/>
  <c r="M5" i="7"/>
  <c r="M6" i="7"/>
  <c r="M7" i="7"/>
  <c r="M8" i="7"/>
  <c r="M9" i="7"/>
  <c r="M10" i="7"/>
  <c r="M11" i="7"/>
  <c r="M12" i="7"/>
  <c r="M13" i="7"/>
  <c r="M14" i="7"/>
  <c r="M15" i="7"/>
  <c r="M16" i="7"/>
  <c r="M3" i="7"/>
  <c r="M4" i="7"/>
  <c r="L3" i="7"/>
  <c r="L4" i="7"/>
  <c r="K3" i="7"/>
  <c r="K4" i="7"/>
  <c r="K5" i="7"/>
  <c r="K6" i="7"/>
  <c r="K7" i="7"/>
  <c r="K8" i="7"/>
  <c r="E23" i="7" s="1"/>
  <c r="K9" i="7"/>
  <c r="K10" i="7"/>
  <c r="K11" i="7"/>
  <c r="K12" i="7"/>
  <c r="K13" i="7"/>
  <c r="K14" i="7"/>
  <c r="K15" i="7"/>
  <c r="K16" i="7"/>
  <c r="G5" i="7"/>
  <c r="G6" i="7"/>
  <c r="G7" i="7"/>
  <c r="G8" i="7"/>
  <c r="G9" i="7"/>
  <c r="G10" i="7"/>
  <c r="G11" i="7"/>
  <c r="G12" i="7"/>
  <c r="G13" i="7"/>
  <c r="G14" i="7"/>
  <c r="G15" i="7"/>
  <c r="G16" i="7"/>
  <c r="F5" i="7"/>
  <c r="F6" i="7"/>
  <c r="F7" i="7"/>
  <c r="F8" i="7"/>
  <c r="F9" i="7"/>
  <c r="E20" i="7" s="1"/>
  <c r="F10" i="7"/>
  <c r="F11" i="7"/>
  <c r="F12" i="7"/>
  <c r="F13" i="7"/>
  <c r="F14" i="7"/>
  <c r="F15" i="7"/>
  <c r="F16" i="7"/>
  <c r="G3" i="7"/>
  <c r="G4" i="7"/>
  <c r="F3" i="7"/>
  <c r="F4" i="7"/>
  <c r="E3" i="7"/>
  <c r="E4" i="7"/>
  <c r="E5" i="7"/>
  <c r="E6" i="7"/>
  <c r="E7" i="7"/>
  <c r="E8" i="7"/>
  <c r="E21" i="7" s="1"/>
  <c r="E9" i="7"/>
  <c r="E10" i="7"/>
  <c r="E11" i="7"/>
  <c r="E12" i="7"/>
  <c r="E13" i="7"/>
  <c r="E14" i="7"/>
  <c r="E15" i="7"/>
  <c r="E16" i="7"/>
  <c r="D3" i="7"/>
  <c r="D4" i="7"/>
  <c r="D5" i="7"/>
  <c r="E19" i="7" s="1"/>
  <c r="D6" i="7"/>
  <c r="D7" i="7"/>
  <c r="D8" i="7"/>
  <c r="D9" i="7"/>
  <c r="D10" i="7"/>
  <c r="D11" i="7"/>
  <c r="D12" i="7"/>
  <c r="D13" i="7"/>
  <c r="D14" i="7"/>
  <c r="D15" i="7"/>
  <c r="D16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2" i="7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G14" i="6"/>
  <c r="I14" i="6" s="1"/>
  <c r="B14" i="6"/>
  <c r="D14" i="6" s="1"/>
  <c r="E22" i="7" l="1"/>
  <c r="C3" i="5"/>
  <c r="C4" i="5"/>
  <c r="C5" i="5"/>
  <c r="C6" i="5"/>
  <c r="C7" i="5"/>
  <c r="D7" i="5" s="1"/>
  <c r="C8" i="5"/>
  <c r="D8" i="5" s="1"/>
  <c r="C9" i="5"/>
  <c r="D9" i="5" s="1"/>
  <c r="C10" i="5"/>
  <c r="D10" i="5" s="1"/>
  <c r="C11" i="5"/>
  <c r="D11" i="5" s="1"/>
  <c r="C12" i="5"/>
  <c r="D12" i="5" s="1"/>
  <c r="C2" i="5"/>
  <c r="D2" i="5" s="1"/>
  <c r="E3" i="4"/>
  <c r="E4" i="4"/>
  <c r="E5" i="4"/>
  <c r="E6" i="4"/>
  <c r="E7" i="4"/>
  <c r="E2" i="4"/>
  <c r="D5" i="4"/>
  <c r="F5" i="4" s="1"/>
  <c r="C3" i="4"/>
  <c r="C4" i="4"/>
  <c r="D4" i="4" s="1"/>
  <c r="F4" i="4" s="1"/>
  <c r="G4" i="4" s="1"/>
  <c r="C5" i="4"/>
  <c r="C6" i="4"/>
  <c r="D6" i="4" s="1"/>
  <c r="F6" i="4" s="1"/>
  <c r="G6" i="4" s="1"/>
  <c r="C7" i="4"/>
  <c r="C2" i="4"/>
  <c r="B3" i="4"/>
  <c r="B4" i="4"/>
  <c r="B5" i="4"/>
  <c r="B6" i="4"/>
  <c r="B7" i="4"/>
  <c r="D7" i="4" s="1"/>
  <c r="F7" i="4" s="1"/>
  <c r="G7" i="4" s="1"/>
  <c r="B2" i="4"/>
  <c r="D2" i="4" s="1"/>
  <c r="F2" i="4" s="1"/>
  <c r="G2" i="4" l="1"/>
  <c r="H2" i="4" s="1"/>
  <c r="G5" i="4"/>
  <c r="H5" i="4" s="1"/>
  <c r="D6" i="5"/>
  <c r="E6" i="5" s="1"/>
  <c r="D5" i="5"/>
  <c r="E5" i="5" s="1"/>
  <c r="D4" i="5"/>
  <c r="E4" i="5" s="1"/>
  <c r="D3" i="5"/>
  <c r="E3" i="5" s="1"/>
  <c r="E2" i="5"/>
  <c r="E12" i="5"/>
  <c r="E11" i="5"/>
  <c r="E10" i="5"/>
  <c r="E9" i="5"/>
  <c r="E8" i="5"/>
  <c r="E7" i="5"/>
  <c r="H7" i="4"/>
  <c r="H6" i="4"/>
  <c r="H4" i="4"/>
  <c r="D3" i="4"/>
  <c r="F3" i="4" s="1"/>
  <c r="G3" i="4" s="1"/>
  <c r="H3" i="4" s="1"/>
  <c r="K4" i="3"/>
  <c r="K5" i="3"/>
  <c r="K6" i="3"/>
  <c r="K7" i="3"/>
  <c r="K8" i="3"/>
  <c r="K9" i="3"/>
  <c r="K10" i="3"/>
  <c r="K3" i="3"/>
  <c r="G4" i="3"/>
  <c r="G5" i="3"/>
  <c r="G6" i="3"/>
  <c r="G7" i="3"/>
  <c r="G8" i="3"/>
  <c r="G9" i="3"/>
  <c r="G10" i="3"/>
  <c r="G3" i="3"/>
  <c r="F4" i="3"/>
  <c r="F5" i="3"/>
  <c r="F6" i="3"/>
  <c r="F7" i="3"/>
  <c r="F8" i="3"/>
  <c r="F9" i="3"/>
  <c r="F10" i="3"/>
  <c r="F3" i="3"/>
  <c r="E4" i="3"/>
  <c r="E5" i="3"/>
  <c r="E6" i="3"/>
  <c r="E7" i="3"/>
  <c r="E8" i="3"/>
  <c r="E9" i="3"/>
  <c r="E10" i="3"/>
  <c r="E3" i="3"/>
  <c r="D4" i="3"/>
  <c r="H4" i="3" s="1"/>
  <c r="D5" i="3"/>
  <c r="H5" i="3" s="1"/>
  <c r="D6" i="3"/>
  <c r="H6" i="3" s="1"/>
  <c r="D7" i="3"/>
  <c r="I7" i="3" s="1"/>
  <c r="D8" i="3"/>
  <c r="H8" i="3" s="1"/>
  <c r="D9" i="3"/>
  <c r="H9" i="3" s="1"/>
  <c r="D10" i="3"/>
  <c r="H10" i="3" s="1"/>
  <c r="D3" i="3"/>
  <c r="H3" i="3" s="1"/>
  <c r="F6" i="5" l="1"/>
  <c r="G6" i="5"/>
  <c r="G3" i="5"/>
  <c r="F3" i="5"/>
  <c r="H3" i="5" s="1"/>
  <c r="F4" i="5"/>
  <c r="G4" i="5"/>
  <c r="F5" i="5"/>
  <c r="H5" i="5" s="1"/>
  <c r="G5" i="5"/>
  <c r="G7" i="5"/>
  <c r="F7" i="5"/>
  <c r="H7" i="5" s="1"/>
  <c r="G8" i="5"/>
  <c r="F8" i="5"/>
  <c r="H8" i="5" s="1"/>
  <c r="G9" i="5"/>
  <c r="F9" i="5"/>
  <c r="H9" i="5" s="1"/>
  <c r="G10" i="5"/>
  <c r="F10" i="5"/>
  <c r="H10" i="5" s="1"/>
  <c r="G11" i="5"/>
  <c r="F11" i="5"/>
  <c r="H11" i="5" s="1"/>
  <c r="F12" i="5"/>
  <c r="G12" i="5"/>
  <c r="H12" i="5"/>
  <c r="G2" i="5"/>
  <c r="H2" i="5" s="1"/>
  <c r="F2" i="5"/>
  <c r="I8" i="3"/>
  <c r="J8" i="3"/>
  <c r="J7" i="3"/>
  <c r="J3" i="3"/>
  <c r="J4" i="3"/>
  <c r="H7" i="3"/>
  <c r="J10" i="3"/>
  <c r="J9" i="3"/>
  <c r="J6" i="3"/>
  <c r="J5" i="3"/>
  <c r="I10" i="3"/>
  <c r="I6" i="3"/>
  <c r="I5" i="3"/>
  <c r="I9" i="3"/>
  <c r="I4" i="3"/>
  <c r="I3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2" i="2"/>
  <c r="J7" i="1"/>
  <c r="H4" i="5" l="1"/>
  <c r="H6" i="5"/>
  <c r="J4" i="1"/>
  <c r="K4" i="1" s="1"/>
  <c r="J5" i="1"/>
  <c r="J6" i="1"/>
  <c r="J3" i="1"/>
  <c r="K3" i="1" s="1"/>
  <c r="H4" i="1"/>
  <c r="I4" i="1" s="1"/>
  <c r="H5" i="1"/>
  <c r="I5" i="1" s="1"/>
  <c r="H6" i="1"/>
  <c r="I6" i="1" s="1"/>
  <c r="H7" i="1"/>
  <c r="I7" i="1" s="1"/>
  <c r="K7" i="1" s="1"/>
  <c r="H3" i="1"/>
  <c r="I3" i="1" s="1"/>
  <c r="K5" i="1" l="1"/>
  <c r="K6" i="1"/>
</calcChain>
</file>

<file path=xl/sharedStrings.xml><?xml version="1.0" encoding="utf-8"?>
<sst xmlns="http://schemas.openxmlformats.org/spreadsheetml/2006/main" count="245" uniqueCount="140">
  <si>
    <t>Mark Sheet of Bsc. CSIT 1st Semester</t>
  </si>
  <si>
    <t>Roll</t>
  </si>
  <si>
    <t>Name</t>
  </si>
  <si>
    <t>Physics</t>
  </si>
  <si>
    <t>DL</t>
  </si>
  <si>
    <t>IIT</t>
  </si>
  <si>
    <t>Math</t>
  </si>
  <si>
    <t>C</t>
  </si>
  <si>
    <t>Total</t>
  </si>
  <si>
    <t>Percentage</t>
  </si>
  <si>
    <t>Result</t>
  </si>
  <si>
    <t>Division</t>
  </si>
  <si>
    <t>Abilekh</t>
  </si>
  <si>
    <t>Alisha</t>
  </si>
  <si>
    <t>Ansu</t>
  </si>
  <si>
    <t>Anush</t>
  </si>
  <si>
    <t>Aslesha</t>
  </si>
  <si>
    <t>SID</t>
  </si>
  <si>
    <t>Address</t>
  </si>
  <si>
    <t>Voter List</t>
  </si>
  <si>
    <t>Citizenship</t>
  </si>
  <si>
    <t>Voter ID</t>
  </si>
  <si>
    <t>Driving License</t>
  </si>
  <si>
    <t>Voting Eligibility</t>
  </si>
  <si>
    <t>Ayush</t>
  </si>
  <si>
    <t>Bangemuda</t>
  </si>
  <si>
    <t>Chagal</t>
  </si>
  <si>
    <t>Barsha</t>
  </si>
  <si>
    <t>Sorhakhutte</t>
  </si>
  <si>
    <t>Diya</t>
  </si>
  <si>
    <t>Balaju</t>
  </si>
  <si>
    <t>Gaurav</t>
  </si>
  <si>
    <t>Kottar</t>
  </si>
  <si>
    <t>yes</t>
  </si>
  <si>
    <t>no</t>
  </si>
  <si>
    <t>Roll No.</t>
  </si>
  <si>
    <t>Date of Birth</t>
  </si>
  <si>
    <t>Today's Date</t>
  </si>
  <si>
    <t>Born Year</t>
  </si>
  <si>
    <t>Born Month</t>
  </si>
  <si>
    <t>Born Day</t>
  </si>
  <si>
    <t>AGE in Year Month Day</t>
  </si>
  <si>
    <t>Year</t>
  </si>
  <si>
    <t>Month</t>
  </si>
  <si>
    <t>Day</t>
  </si>
  <si>
    <t xml:space="preserve"> Basic Salary</t>
  </si>
  <si>
    <t>Travelling Allowance</t>
  </si>
  <si>
    <t>Medical Allowance</t>
  </si>
  <si>
    <t>Gross Salary</t>
  </si>
  <si>
    <t>Provident Fund</t>
  </si>
  <si>
    <t>Receiving Amount</t>
  </si>
  <si>
    <t>Income Tax</t>
  </si>
  <si>
    <t>Net Salary</t>
  </si>
  <si>
    <t>Criteria</t>
  </si>
  <si>
    <t>If Amount</t>
  </si>
  <si>
    <t>Income Tax of Amount</t>
  </si>
  <si>
    <t>10% of Salary</t>
  </si>
  <si>
    <t>12% of Salary</t>
  </si>
  <si>
    <t>Basic + Trav + Med</t>
  </si>
  <si>
    <t>&lt;3000</t>
  </si>
  <si>
    <t>&lt;5000</t>
  </si>
  <si>
    <t>&lt;10000</t>
  </si>
  <si>
    <t>&lt;15000</t>
  </si>
  <si>
    <t>&gt;=15000</t>
  </si>
  <si>
    <t>Unit Consumed</t>
  </si>
  <si>
    <t>Minimum Charge</t>
  </si>
  <si>
    <t>Total Charge</t>
  </si>
  <si>
    <t>Service Charge</t>
  </si>
  <si>
    <t>Subtotal</t>
  </si>
  <si>
    <t>VAT</t>
  </si>
  <si>
    <t>Govt. Tax</t>
  </si>
  <si>
    <t>Net Charge</t>
  </si>
  <si>
    <t xml:space="preserve">20 units cost minimum charge </t>
  </si>
  <si>
    <t>Cost per … units</t>
  </si>
  <si>
    <t>21-50</t>
  </si>
  <si>
    <t>51-150</t>
  </si>
  <si>
    <t>151-250</t>
  </si>
  <si>
    <t>&gt;250</t>
  </si>
  <si>
    <t>Cost per unit</t>
  </si>
  <si>
    <t>Second Hand Phone Pricelist</t>
  </si>
  <si>
    <t>Model No.</t>
  </si>
  <si>
    <t>Product Code</t>
  </si>
  <si>
    <t>Quantity in Stock</t>
  </si>
  <si>
    <t>Price</t>
  </si>
  <si>
    <t>Iphone 6</t>
  </si>
  <si>
    <t>00-01</t>
  </si>
  <si>
    <t>Iphone 7</t>
  </si>
  <si>
    <t>00-01a</t>
  </si>
  <si>
    <t>Iphone 8</t>
  </si>
  <si>
    <t>50-01</t>
  </si>
  <si>
    <t>Iphone 9</t>
  </si>
  <si>
    <t>00-01b</t>
  </si>
  <si>
    <t>Iphone X</t>
  </si>
  <si>
    <t>00-01c</t>
  </si>
  <si>
    <t>Iphone 11</t>
  </si>
  <si>
    <t>00-01d</t>
  </si>
  <si>
    <t>Iphone 12</t>
  </si>
  <si>
    <t>25-01</t>
  </si>
  <si>
    <t>Iphone 13</t>
  </si>
  <si>
    <t>65-01</t>
  </si>
  <si>
    <t>Vlookup</t>
  </si>
  <si>
    <t>Product</t>
  </si>
  <si>
    <t>Purchase Qty</t>
  </si>
  <si>
    <t>Total Price</t>
  </si>
  <si>
    <t>Vlookup with Data Validation</t>
  </si>
  <si>
    <t>Program/Year</t>
  </si>
  <si>
    <t>BCA</t>
  </si>
  <si>
    <t>BFA</t>
  </si>
  <si>
    <t>BBM</t>
  </si>
  <si>
    <t>BIM</t>
  </si>
  <si>
    <t>BIT</t>
  </si>
  <si>
    <t>BBA</t>
  </si>
  <si>
    <t>BTTM</t>
  </si>
  <si>
    <t>BA</t>
  </si>
  <si>
    <t>Bed</t>
  </si>
  <si>
    <t>BSW</t>
  </si>
  <si>
    <t>MIT</t>
  </si>
  <si>
    <t>MBA</t>
  </si>
  <si>
    <t>MHM</t>
  </si>
  <si>
    <t>MIM</t>
  </si>
  <si>
    <t>MCS</t>
  </si>
  <si>
    <t>VLOOKUP with MATCH function</t>
  </si>
  <si>
    <t>Hrikesh</t>
  </si>
  <si>
    <t>Kamana</t>
  </si>
  <si>
    <t>Krish</t>
  </si>
  <si>
    <t>Krishma</t>
  </si>
  <si>
    <t>Manila</t>
  </si>
  <si>
    <t>Sangam</t>
  </si>
  <si>
    <t>Tachal</t>
  </si>
  <si>
    <t>Shreegha</t>
  </si>
  <si>
    <t>Kathmandu</t>
  </si>
  <si>
    <t>Pokhara</t>
  </si>
  <si>
    <t>Chabahil</t>
  </si>
  <si>
    <t>Mahendra</t>
  </si>
  <si>
    <t>Ason</t>
  </si>
  <si>
    <t>Kamaladi</t>
  </si>
  <si>
    <t>Dallu</t>
  </si>
  <si>
    <t>Swoyambhu</t>
  </si>
  <si>
    <t>Chhauni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</si>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</sst>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>
      <alignment horizontal="center"/>
    </xf>
  </cellStyleXfs>
  <cellXfs count="4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2" xfId="0" applyBorder="1"/>
    <xf numFmtId="0" fontId="0" fillId="0" borderId="10" xfId="0" applyBorder="1"/>
    <xf numFmtId="0" fontId="0" fillId="0" borderId="3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4" xfId="0" applyNumberFormat="1" applyBorder="1"/>
    <xf numFmtId="22" fontId="0" fillId="0" borderId="4" xfId="0" applyNumberFormat="1" applyBorder="1"/>
    <xf numFmtId="9" fontId="0" fillId="0" borderId="11" xfId="0" applyNumberFormat="1" applyBorder="1"/>
    <xf numFmtId="9" fontId="0" fillId="0" borderId="12" xfId="0" applyNumberFormat="1" applyBorder="1"/>
    <xf numFmtId="9" fontId="0" fillId="0" borderId="0" xfId="0" applyNumberFormat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1" applyBorder="1" applyAlignment="1">
      <alignment horizontal="center"/>
    </xf>
  </cellXfs>
  <cellStyles count="3">
    <cellStyle name="Accent6" xfId="1" builtinId="49"/>
    <cellStyle name="Normal" xfId="0" builtinId="0"/>
    <cellStyle name="Style 1" xfId="2" xr:uid="{00000000-0005-0000-0000-000002000000}"/>
  </cellStyles>
  <dxfs count="3">
    <dxf>
      <fill>
        <patternFill patternType="solid">
          <fgColor auto="1"/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33CC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F15" sqref="F15"/>
    </sheetView>
  </sheetViews>
  <sheetFormatPr defaultRowHeight="15.75" x14ac:dyDescent="0.25"/>
  <cols>
    <col min="1" max="1" width="4" bestFit="1" customWidth="1"/>
    <col min="2" max="2" width="7.25" bestFit="1" customWidth="1"/>
    <col min="9" max="9" width="10.75" bestFit="1" customWidth="1"/>
    <col min="11" max="11" width="10.125" bestFit="1" customWidth="1"/>
  </cols>
  <sheetData>
    <row r="1" spans="1:11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1"/>
    </row>
    <row r="2" spans="1:11" x14ac:dyDescent="0.25">
      <c r="A2" s="9" t="s">
        <v>1</v>
      </c>
      <c r="B2" s="4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4" t="s">
        <v>8</v>
      </c>
      <c r="I2" s="8" t="s">
        <v>9</v>
      </c>
      <c r="J2" s="8" t="s">
        <v>10</v>
      </c>
      <c r="K2" s="12" t="s">
        <v>11</v>
      </c>
    </row>
    <row r="3" spans="1:11" x14ac:dyDescent="0.25">
      <c r="A3" s="10">
        <v>1</v>
      </c>
      <c r="B3" s="15" t="s">
        <v>12</v>
      </c>
      <c r="C3" s="1">
        <v>60</v>
      </c>
      <c r="D3" s="1">
        <v>23</v>
      </c>
      <c r="E3" s="1">
        <v>13</v>
      </c>
      <c r="F3" s="1">
        <v>54</v>
      </c>
      <c r="G3" s="1">
        <v>1</v>
      </c>
      <c r="H3" s="15">
        <f>SUM(C3:G3)</f>
        <v>151</v>
      </c>
      <c r="I3" s="17">
        <f t="shared" ref="I3:I5" si="0">(H3/3)</f>
        <v>50.333333333333336</v>
      </c>
      <c r="J3" s="20" t="str">
        <f>IF(OR(C3&lt;30,D3&lt;30,E3&lt;30,F3&lt;30,G3&lt;30),"Fail","Pass")</f>
        <v>Fail</v>
      </c>
      <c r="K3" s="13" t="str">
        <f>IF(J3="Fail","No Division",IF(I3&gt;=80,"Distinction",IF(I3&gt;=60,"1st",IF(I3&gt;=50,"2nd","3rd"))))</f>
        <v>No Division</v>
      </c>
    </row>
    <row r="4" spans="1:11" x14ac:dyDescent="0.25">
      <c r="A4" s="10">
        <v>2</v>
      </c>
      <c r="B4" s="15" t="s">
        <v>13</v>
      </c>
      <c r="C4" s="1">
        <v>45</v>
      </c>
      <c r="D4" s="1">
        <v>45</v>
      </c>
      <c r="E4" s="1">
        <v>45</v>
      </c>
      <c r="F4" s="1">
        <v>45</v>
      </c>
      <c r="G4" s="1">
        <v>45</v>
      </c>
      <c r="H4" s="15">
        <f t="shared" ref="H4:H7" si="1">SUM(C4:G4)</f>
        <v>225</v>
      </c>
      <c r="I4" s="18">
        <f t="shared" si="0"/>
        <v>75</v>
      </c>
      <c r="J4" s="15" t="str">
        <f t="shared" ref="J4:J6" si="2">IF(OR(C4&lt;30,D4&lt;30,E4&lt;30,F4&lt;30,G4&lt;30),"Fail","Pass")</f>
        <v>Pass</v>
      </c>
      <c r="K4" s="13" t="str">
        <f t="shared" ref="K4:K7" si="3">IF(J4="Fail","No Division",IF(I4&gt;=80,"Distinction",IF(I4&gt;=60,"1st",IF(I4&gt;=50,"2nd","3rd"))))</f>
        <v>1st</v>
      </c>
    </row>
    <row r="5" spans="1:11" x14ac:dyDescent="0.25">
      <c r="A5" s="10">
        <v>3</v>
      </c>
      <c r="B5" s="15" t="s">
        <v>14</v>
      </c>
      <c r="C5" s="1">
        <v>40</v>
      </c>
      <c r="D5" s="1">
        <v>30</v>
      </c>
      <c r="E5" s="1">
        <v>30</v>
      </c>
      <c r="F5" s="1">
        <v>12</v>
      </c>
      <c r="G5" s="1">
        <v>30</v>
      </c>
      <c r="H5" s="15">
        <f t="shared" si="1"/>
        <v>142</v>
      </c>
      <c r="I5" s="18">
        <f t="shared" si="0"/>
        <v>47.333333333333336</v>
      </c>
      <c r="J5" s="15" t="str">
        <f t="shared" si="2"/>
        <v>Fail</v>
      </c>
      <c r="K5" s="13" t="str">
        <f t="shared" si="3"/>
        <v>No Division</v>
      </c>
    </row>
    <row r="6" spans="1:11" x14ac:dyDescent="0.25">
      <c r="A6" s="10">
        <v>4</v>
      </c>
      <c r="B6" s="15" t="s">
        <v>15</v>
      </c>
      <c r="C6" s="1">
        <v>60</v>
      </c>
      <c r="D6" s="1">
        <v>60</v>
      </c>
      <c r="E6" s="1">
        <v>60</v>
      </c>
      <c r="F6" s="1">
        <v>60</v>
      </c>
      <c r="G6" s="1">
        <v>60</v>
      </c>
      <c r="H6" s="15">
        <f t="shared" si="1"/>
        <v>300</v>
      </c>
      <c r="I6" s="18">
        <f>(H6/3)</f>
        <v>100</v>
      </c>
      <c r="J6" s="15" t="str">
        <f t="shared" si="2"/>
        <v>Pass</v>
      </c>
      <c r="K6" s="13" t="str">
        <f t="shared" si="3"/>
        <v>Distinction</v>
      </c>
    </row>
    <row r="7" spans="1:11" x14ac:dyDescent="0.25">
      <c r="A7" s="11">
        <v>5</v>
      </c>
      <c r="B7" s="16" t="s">
        <v>16</v>
      </c>
      <c r="C7" s="7">
        <v>24</v>
      </c>
      <c r="D7" s="7">
        <v>24</v>
      </c>
      <c r="E7" s="7">
        <v>24</v>
      </c>
      <c r="F7" s="7">
        <v>24</v>
      </c>
      <c r="G7" s="7">
        <v>24</v>
      </c>
      <c r="H7" s="16">
        <f t="shared" si="1"/>
        <v>120</v>
      </c>
      <c r="I7" s="19">
        <f>(H7/3)</f>
        <v>40</v>
      </c>
      <c r="J7" s="16" t="str">
        <f>IF(OR(C7&lt;24,D7&lt;24,E7&lt;24,F7&lt;24,G7&lt;24),"Fail","Pass")</f>
        <v>Pass</v>
      </c>
      <c r="K7" s="14" t="str">
        <f t="shared" si="3"/>
        <v>3rd</v>
      </c>
    </row>
  </sheetData>
  <mergeCells count="1">
    <mergeCell ref="A1:K1"/>
  </mergeCells>
  <conditionalFormatting sqref="C3:G7">
    <cfRule type="cellIs" dxfId="2" priority="1" operator="lessThan">
      <formula>24</formula>
    </cfRule>
  </conditionalFormatting>
  <conditionalFormatting sqref="J3:J7">
    <cfRule type="cellIs" dxfId="1" priority="2" operator="equal">
      <formula>"Fail"</formula>
    </cfRule>
    <cfRule type="cellIs" dxfId="0" priority="3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D23" sqref="D23"/>
    </sheetView>
  </sheetViews>
  <sheetFormatPr defaultRowHeight="15.75" x14ac:dyDescent="0.25"/>
  <cols>
    <col min="3" max="3" width="10.5" bestFit="1" customWidth="1"/>
    <col min="5" max="5" width="9.75" bestFit="1" customWidth="1"/>
    <col min="7" max="7" width="13.375" bestFit="1" customWidth="1"/>
    <col min="8" max="8" width="14.25" bestFit="1" customWidth="1"/>
  </cols>
  <sheetData>
    <row r="1" spans="1:8" x14ac:dyDescent="0.25">
      <c r="A1" s="5" t="s">
        <v>17</v>
      </c>
      <c r="B1" s="29" t="s">
        <v>2</v>
      </c>
      <c r="C1" s="29" t="s">
        <v>18</v>
      </c>
      <c r="D1" s="29" t="s">
        <v>19</v>
      </c>
      <c r="E1" s="29" t="s">
        <v>20</v>
      </c>
      <c r="F1" s="29" t="s">
        <v>21</v>
      </c>
      <c r="G1" s="29" t="s">
        <v>22</v>
      </c>
      <c r="H1" s="30" t="s">
        <v>23</v>
      </c>
    </row>
    <row r="2" spans="1:8" x14ac:dyDescent="0.25">
      <c r="A2" s="31">
        <v>1</v>
      </c>
      <c r="B2" t="s">
        <v>12</v>
      </c>
      <c r="C2" t="s">
        <v>25</v>
      </c>
      <c r="D2" t="s">
        <v>34</v>
      </c>
      <c r="E2" t="s">
        <v>34</v>
      </c>
      <c r="F2" t="s">
        <v>34</v>
      </c>
      <c r="G2" t="s">
        <v>34</v>
      </c>
      <c r="H2" s="22" t="str">
        <f>IF(D2="no","Can't Vote",IF(OR(E2="yes",F2="yes",G2="yes"),"Can Vote","Can't Vote"))</f>
        <v>Can't Vote</v>
      </c>
    </row>
    <row r="3" spans="1:8" x14ac:dyDescent="0.25">
      <c r="A3" s="31">
        <v>2</v>
      </c>
      <c r="B3" t="s">
        <v>13</v>
      </c>
      <c r="C3" t="s">
        <v>26</v>
      </c>
      <c r="D3" t="s">
        <v>34</v>
      </c>
      <c r="E3" t="s">
        <v>34</v>
      </c>
      <c r="F3" t="s">
        <v>34</v>
      </c>
      <c r="G3" t="s">
        <v>33</v>
      </c>
      <c r="H3" s="22" t="str">
        <f t="shared" ref="H3:H17" si="0">IF(D3="no","Can't Vote",IF(OR(E3="yes",F3="yes",G3="yes"),"Can Vote","Can't Vote"))</f>
        <v>Can't Vote</v>
      </c>
    </row>
    <row r="4" spans="1:8" x14ac:dyDescent="0.25">
      <c r="A4" s="31">
        <v>3</v>
      </c>
      <c r="B4" t="s">
        <v>14</v>
      </c>
      <c r="C4" t="s">
        <v>28</v>
      </c>
      <c r="D4" t="s">
        <v>34</v>
      </c>
      <c r="E4" t="s">
        <v>34</v>
      </c>
      <c r="F4" t="s">
        <v>33</v>
      </c>
      <c r="G4" t="s">
        <v>34</v>
      </c>
      <c r="H4" s="22" t="str">
        <f t="shared" si="0"/>
        <v>Can't Vote</v>
      </c>
    </row>
    <row r="5" spans="1:8" x14ac:dyDescent="0.25">
      <c r="A5" s="31">
        <v>4</v>
      </c>
      <c r="B5" t="s">
        <v>15</v>
      </c>
      <c r="C5" t="s">
        <v>30</v>
      </c>
      <c r="D5" t="s">
        <v>34</v>
      </c>
      <c r="E5" t="s">
        <v>34</v>
      </c>
      <c r="F5" t="s">
        <v>33</v>
      </c>
      <c r="G5" t="s">
        <v>33</v>
      </c>
      <c r="H5" s="22" t="str">
        <f t="shared" si="0"/>
        <v>Can't Vote</v>
      </c>
    </row>
    <row r="6" spans="1:8" x14ac:dyDescent="0.25">
      <c r="A6" s="31">
        <v>5</v>
      </c>
      <c r="B6" t="s">
        <v>16</v>
      </c>
      <c r="C6" t="s">
        <v>32</v>
      </c>
      <c r="D6" t="s">
        <v>34</v>
      </c>
      <c r="E6" t="s">
        <v>33</v>
      </c>
      <c r="F6" t="s">
        <v>34</v>
      </c>
      <c r="G6" t="s">
        <v>34</v>
      </c>
      <c r="H6" s="22" t="str">
        <f t="shared" si="0"/>
        <v>Can't Vote</v>
      </c>
    </row>
    <row r="7" spans="1:8" x14ac:dyDescent="0.25">
      <c r="A7" s="31">
        <v>6</v>
      </c>
      <c r="B7" t="s">
        <v>24</v>
      </c>
      <c r="C7" t="s">
        <v>128</v>
      </c>
      <c r="D7" t="s">
        <v>34</v>
      </c>
      <c r="E7" t="s">
        <v>33</v>
      </c>
      <c r="F7" t="s">
        <v>34</v>
      </c>
      <c r="G7" t="s">
        <v>33</v>
      </c>
      <c r="H7" s="22" t="str">
        <f t="shared" si="0"/>
        <v>Can't Vote</v>
      </c>
    </row>
    <row r="8" spans="1:8" x14ac:dyDescent="0.25">
      <c r="A8" s="31">
        <v>7</v>
      </c>
      <c r="B8" t="s">
        <v>24</v>
      </c>
      <c r="C8" t="s">
        <v>129</v>
      </c>
      <c r="D8" t="s">
        <v>34</v>
      </c>
      <c r="E8" t="s">
        <v>33</v>
      </c>
      <c r="F8" t="s">
        <v>33</v>
      </c>
      <c r="G8" t="s">
        <v>34</v>
      </c>
      <c r="H8" s="22" t="str">
        <f t="shared" si="0"/>
        <v>Can't Vote</v>
      </c>
    </row>
    <row r="9" spans="1:8" x14ac:dyDescent="0.25">
      <c r="A9" s="31">
        <v>8</v>
      </c>
      <c r="B9" t="s">
        <v>27</v>
      </c>
      <c r="C9" t="s">
        <v>130</v>
      </c>
      <c r="D9" t="s">
        <v>34</v>
      </c>
      <c r="E9" t="s">
        <v>33</v>
      </c>
      <c r="F9" t="s">
        <v>33</v>
      </c>
      <c r="G9" t="s">
        <v>33</v>
      </c>
      <c r="H9" s="22" t="str">
        <f t="shared" si="0"/>
        <v>Can't Vote</v>
      </c>
    </row>
    <row r="10" spans="1:8" x14ac:dyDescent="0.25">
      <c r="A10" s="31">
        <v>9</v>
      </c>
      <c r="B10" t="s">
        <v>29</v>
      </c>
      <c r="C10" t="s">
        <v>131</v>
      </c>
      <c r="D10" t="s">
        <v>33</v>
      </c>
      <c r="E10" t="s">
        <v>34</v>
      </c>
      <c r="F10" t="s">
        <v>34</v>
      </c>
      <c r="G10" t="s">
        <v>34</v>
      </c>
      <c r="H10" s="22" t="str">
        <f t="shared" si="0"/>
        <v>Can't Vote</v>
      </c>
    </row>
    <row r="11" spans="1:8" x14ac:dyDescent="0.25">
      <c r="A11" s="31">
        <v>10</v>
      </c>
      <c r="B11" t="s">
        <v>31</v>
      </c>
      <c r="C11" t="s">
        <v>132</v>
      </c>
      <c r="D11" t="s">
        <v>33</v>
      </c>
      <c r="E11" t="s">
        <v>34</v>
      </c>
      <c r="F11" t="s">
        <v>34</v>
      </c>
      <c r="G11" t="s">
        <v>33</v>
      </c>
      <c r="H11" s="22" t="str">
        <f t="shared" si="0"/>
        <v>Can Vote</v>
      </c>
    </row>
    <row r="12" spans="1:8" x14ac:dyDescent="0.25">
      <c r="A12" s="31">
        <v>11</v>
      </c>
      <c r="B12" t="s">
        <v>122</v>
      </c>
      <c r="C12" t="s">
        <v>133</v>
      </c>
      <c r="D12" t="s">
        <v>33</v>
      </c>
      <c r="E12" t="s">
        <v>34</v>
      </c>
      <c r="F12" t="s">
        <v>33</v>
      </c>
      <c r="G12" t="s">
        <v>34</v>
      </c>
      <c r="H12" s="22" t="str">
        <f t="shared" si="0"/>
        <v>Can Vote</v>
      </c>
    </row>
    <row r="13" spans="1:8" x14ac:dyDescent="0.25">
      <c r="A13" s="31">
        <v>12</v>
      </c>
      <c r="B13" t="s">
        <v>123</v>
      </c>
      <c r="C13" t="s">
        <v>134</v>
      </c>
      <c r="D13" t="s">
        <v>33</v>
      </c>
      <c r="E13" t="s">
        <v>33</v>
      </c>
      <c r="F13" t="s">
        <v>34</v>
      </c>
      <c r="G13" t="s">
        <v>33</v>
      </c>
      <c r="H13" s="22" t="str">
        <f t="shared" si="0"/>
        <v>Can Vote</v>
      </c>
    </row>
    <row r="14" spans="1:8" x14ac:dyDescent="0.25">
      <c r="A14" s="31">
        <v>13</v>
      </c>
      <c r="B14" t="s">
        <v>124</v>
      </c>
      <c r="C14" t="s">
        <v>135</v>
      </c>
      <c r="D14" t="s">
        <v>33</v>
      </c>
      <c r="E14" t="s">
        <v>33</v>
      </c>
      <c r="F14" t="s">
        <v>34</v>
      </c>
      <c r="G14" t="s">
        <v>34</v>
      </c>
      <c r="H14" s="22" t="str">
        <f t="shared" si="0"/>
        <v>Can Vote</v>
      </c>
    </row>
    <row r="15" spans="1:8" x14ac:dyDescent="0.25">
      <c r="A15" s="31">
        <v>14</v>
      </c>
      <c r="B15" t="s">
        <v>125</v>
      </c>
      <c r="C15" t="s">
        <v>136</v>
      </c>
      <c r="D15" t="s">
        <v>33</v>
      </c>
      <c r="E15" t="s">
        <v>33</v>
      </c>
      <c r="F15" t="s">
        <v>34</v>
      </c>
      <c r="G15" t="s">
        <v>33</v>
      </c>
      <c r="H15" s="22" t="str">
        <f t="shared" si="0"/>
        <v>Can Vote</v>
      </c>
    </row>
    <row r="16" spans="1:8" x14ac:dyDescent="0.25">
      <c r="A16" s="31">
        <v>15</v>
      </c>
      <c r="B16" t="s">
        <v>126</v>
      </c>
      <c r="C16" t="s">
        <v>137</v>
      </c>
      <c r="D16" t="s">
        <v>33</v>
      </c>
      <c r="E16" t="s">
        <v>33</v>
      </c>
      <c r="F16" t="s">
        <v>33</v>
      </c>
      <c r="G16" t="s">
        <v>34</v>
      </c>
      <c r="H16" s="22" t="str">
        <f t="shared" si="0"/>
        <v>Can Vote</v>
      </c>
    </row>
    <row r="17" spans="1:8" x14ac:dyDescent="0.25">
      <c r="A17" s="32">
        <v>16</v>
      </c>
      <c r="B17" s="21" t="s">
        <v>127</v>
      </c>
      <c r="C17" s="21" t="s">
        <v>138</v>
      </c>
      <c r="D17" s="21" t="s">
        <v>33</v>
      </c>
      <c r="E17" s="21" t="s">
        <v>33</v>
      </c>
      <c r="F17" s="21" t="s">
        <v>33</v>
      </c>
      <c r="G17" s="21" t="s">
        <v>33</v>
      </c>
      <c r="H17" s="23" t="str">
        <f t="shared" si="0"/>
        <v>Can Vote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K2" sqref="K2:K10"/>
    </sheetView>
  </sheetViews>
  <sheetFormatPr defaultRowHeight="15.75" x14ac:dyDescent="0.25"/>
  <cols>
    <col min="3" max="3" width="11.625" style="2" bestFit="1" customWidth="1"/>
    <col min="4" max="4" width="11.5" style="2" bestFit="1" customWidth="1"/>
    <col min="6" max="6" width="10.375" bestFit="1" customWidth="1"/>
    <col min="11" max="11" width="14.5" bestFit="1" customWidth="1"/>
  </cols>
  <sheetData>
    <row r="1" spans="1:11" x14ac:dyDescent="0.25">
      <c r="A1" s="42" t="s">
        <v>41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x14ac:dyDescent="0.25">
      <c r="A2" s="5" t="s">
        <v>35</v>
      </c>
      <c r="B2" s="5" t="s">
        <v>2</v>
      </c>
      <c r="C2" s="6" t="s">
        <v>36</v>
      </c>
      <c r="D2" s="6" t="s">
        <v>37</v>
      </c>
      <c r="E2" s="5" t="s">
        <v>38</v>
      </c>
      <c r="F2" s="5" t="s">
        <v>39</v>
      </c>
      <c r="G2" s="5" t="s">
        <v>40</v>
      </c>
      <c r="H2" s="5" t="s">
        <v>42</v>
      </c>
      <c r="I2" s="5" t="s">
        <v>43</v>
      </c>
      <c r="J2" s="5" t="s">
        <v>44</v>
      </c>
      <c r="K2" s="5" t="s">
        <v>139</v>
      </c>
    </row>
    <row r="3" spans="1:11" x14ac:dyDescent="0.25">
      <c r="A3" s="33">
        <v>1</v>
      </c>
      <c r="B3" t="s">
        <v>12</v>
      </c>
      <c r="C3" s="2">
        <v>16582</v>
      </c>
      <c r="D3" s="2">
        <f ca="1">TODAY()</f>
        <v>45368</v>
      </c>
      <c r="E3">
        <f>YEAR(C3)</f>
        <v>1945</v>
      </c>
      <c r="F3">
        <f>MONTH(C3)</f>
        <v>5</v>
      </c>
      <c r="G3">
        <f>DAY(C3)</f>
        <v>25</v>
      </c>
      <c r="H3">
        <f ca="1">DATEDIF(C3,D3,"y")</f>
        <v>78</v>
      </c>
      <c r="I3">
        <f ca="1">DATEDIF(C3,D3,"yM")</f>
        <v>9</v>
      </c>
      <c r="J3">
        <f ca="1">DATEDIF(C3,D3,"md")</f>
        <v>21</v>
      </c>
      <c r="K3" s="3">
        <f ca="1">NOW()</f>
        <v>45368.750457523151</v>
      </c>
    </row>
    <row r="4" spans="1:11" x14ac:dyDescent="0.25">
      <c r="A4" s="31">
        <v>2</v>
      </c>
      <c r="B4" t="s">
        <v>13</v>
      </c>
      <c r="C4" s="2">
        <v>32975</v>
      </c>
      <c r="D4" s="2">
        <f t="shared" ref="D4:D10" ca="1" si="0">TODAY()</f>
        <v>45368</v>
      </c>
      <c r="E4">
        <f t="shared" ref="E4:E10" si="1">YEAR(C4)</f>
        <v>1990</v>
      </c>
      <c r="F4">
        <f t="shared" ref="F4:F10" si="2">MONTH(C4)</f>
        <v>4</v>
      </c>
      <c r="G4">
        <f t="shared" ref="G4:G10" si="3">DAY(C4)</f>
        <v>12</v>
      </c>
      <c r="H4">
        <f t="shared" ref="H4:H10" ca="1" si="4">DATEDIF(C4,D4,"y")</f>
        <v>33</v>
      </c>
      <c r="I4">
        <f t="shared" ref="I4:I10" ca="1" si="5">DATEDIF(C4,D4,"yM")</f>
        <v>11</v>
      </c>
      <c r="J4">
        <f t="shared" ref="J4:J10" ca="1" si="6">DATEDIF(C4,D4,"md")</f>
        <v>5</v>
      </c>
      <c r="K4" s="3">
        <f t="shared" ref="K4:K10" ca="1" si="7">NOW()</f>
        <v>45368.750457523151</v>
      </c>
    </row>
    <row r="5" spans="1:11" x14ac:dyDescent="0.25">
      <c r="A5" s="31">
        <v>3</v>
      </c>
      <c r="B5" t="s">
        <v>14</v>
      </c>
      <c r="C5" s="2">
        <v>33859</v>
      </c>
      <c r="D5" s="2">
        <f t="shared" ca="1" si="0"/>
        <v>45368</v>
      </c>
      <c r="E5">
        <f t="shared" si="1"/>
        <v>1992</v>
      </c>
      <c r="F5">
        <f t="shared" si="2"/>
        <v>9</v>
      </c>
      <c r="G5">
        <f t="shared" si="3"/>
        <v>12</v>
      </c>
      <c r="H5">
        <f t="shared" ca="1" si="4"/>
        <v>31</v>
      </c>
      <c r="I5">
        <f t="shared" ca="1" si="5"/>
        <v>6</v>
      </c>
      <c r="J5">
        <f t="shared" ca="1" si="6"/>
        <v>5</v>
      </c>
      <c r="K5" s="3">
        <f t="shared" ca="1" si="7"/>
        <v>45368.750457523151</v>
      </c>
    </row>
    <row r="6" spans="1:11" x14ac:dyDescent="0.25">
      <c r="A6" s="31">
        <v>4</v>
      </c>
      <c r="B6" t="s">
        <v>15</v>
      </c>
      <c r="C6" s="2">
        <v>45322</v>
      </c>
      <c r="D6" s="2">
        <f t="shared" ca="1" si="0"/>
        <v>45368</v>
      </c>
      <c r="E6">
        <f t="shared" si="1"/>
        <v>2024</v>
      </c>
      <c r="F6">
        <f t="shared" si="2"/>
        <v>1</v>
      </c>
      <c r="G6">
        <f t="shared" si="3"/>
        <v>31</v>
      </c>
      <c r="H6">
        <f t="shared" ca="1" si="4"/>
        <v>0</v>
      </c>
      <c r="I6">
        <f t="shared" ca="1" si="5"/>
        <v>1</v>
      </c>
      <c r="J6">
        <f t="shared" ca="1" si="6"/>
        <v>15</v>
      </c>
      <c r="K6" s="3">
        <f t="shared" ca="1" si="7"/>
        <v>45368.750457523151</v>
      </c>
    </row>
    <row r="7" spans="1:11" x14ac:dyDescent="0.25">
      <c r="A7" s="31">
        <v>5</v>
      </c>
      <c r="B7" t="s">
        <v>16</v>
      </c>
      <c r="C7" s="2">
        <v>1995</v>
      </c>
      <c r="D7" s="2">
        <f t="shared" ca="1" si="0"/>
        <v>45368</v>
      </c>
      <c r="E7">
        <f t="shared" si="1"/>
        <v>1905</v>
      </c>
      <c r="F7">
        <f t="shared" si="2"/>
        <v>6</v>
      </c>
      <c r="G7">
        <f t="shared" si="3"/>
        <v>17</v>
      </c>
      <c r="H7">
        <f t="shared" ca="1" si="4"/>
        <v>118</v>
      </c>
      <c r="I7">
        <f t="shared" ca="1" si="5"/>
        <v>9</v>
      </c>
      <c r="J7">
        <f t="shared" ca="1" si="6"/>
        <v>0</v>
      </c>
      <c r="K7" s="3">
        <f t="shared" ca="1" si="7"/>
        <v>45368.750457523151</v>
      </c>
    </row>
    <row r="8" spans="1:11" x14ac:dyDescent="0.25">
      <c r="A8" s="31">
        <v>6</v>
      </c>
      <c r="B8" t="s">
        <v>24</v>
      </c>
      <c r="C8" s="2">
        <v>39963</v>
      </c>
      <c r="D8" s="2">
        <f t="shared" ca="1" si="0"/>
        <v>45368</v>
      </c>
      <c r="E8">
        <f t="shared" si="1"/>
        <v>2009</v>
      </c>
      <c r="F8">
        <f t="shared" si="2"/>
        <v>5</v>
      </c>
      <c r="G8">
        <f t="shared" si="3"/>
        <v>30</v>
      </c>
      <c r="H8">
        <f t="shared" ca="1" si="4"/>
        <v>14</v>
      </c>
      <c r="I8">
        <f t="shared" ca="1" si="5"/>
        <v>9</v>
      </c>
      <c r="J8">
        <f t="shared" ca="1" si="6"/>
        <v>16</v>
      </c>
      <c r="K8" s="3">
        <f t="shared" ca="1" si="7"/>
        <v>45368.750457523151</v>
      </c>
    </row>
    <row r="9" spans="1:11" x14ac:dyDescent="0.25">
      <c r="A9" s="31">
        <v>7</v>
      </c>
      <c r="B9" t="s">
        <v>24</v>
      </c>
      <c r="C9" s="2">
        <v>16741</v>
      </c>
      <c r="D9" s="2">
        <f t="shared" ca="1" si="0"/>
        <v>45368</v>
      </c>
      <c r="E9">
        <f t="shared" si="1"/>
        <v>1945</v>
      </c>
      <c r="F9">
        <f t="shared" si="2"/>
        <v>10</v>
      </c>
      <c r="G9">
        <f t="shared" si="3"/>
        <v>31</v>
      </c>
      <c r="H9">
        <f t="shared" ca="1" si="4"/>
        <v>78</v>
      </c>
      <c r="I9">
        <f t="shared" ca="1" si="5"/>
        <v>4</v>
      </c>
      <c r="J9">
        <f t="shared" ca="1" si="6"/>
        <v>15</v>
      </c>
      <c r="K9" s="3">
        <f t="shared" ca="1" si="7"/>
        <v>45368.750457523151</v>
      </c>
    </row>
    <row r="10" spans="1:11" x14ac:dyDescent="0.25">
      <c r="A10" s="32">
        <v>8</v>
      </c>
      <c r="B10" s="21" t="s">
        <v>27</v>
      </c>
      <c r="C10" s="34">
        <v>22255</v>
      </c>
      <c r="D10" s="34">
        <f t="shared" ca="1" si="0"/>
        <v>45368</v>
      </c>
      <c r="E10" s="21">
        <f t="shared" si="1"/>
        <v>1960</v>
      </c>
      <c r="F10" s="21">
        <f t="shared" si="2"/>
        <v>12</v>
      </c>
      <c r="G10" s="21">
        <f t="shared" si="3"/>
        <v>5</v>
      </c>
      <c r="H10" s="21">
        <f t="shared" ca="1" si="4"/>
        <v>63</v>
      </c>
      <c r="I10" s="21">
        <f t="shared" ca="1" si="5"/>
        <v>3</v>
      </c>
      <c r="J10" s="21">
        <f t="shared" ca="1" si="6"/>
        <v>12</v>
      </c>
      <c r="K10" s="35">
        <f t="shared" ca="1" si="7"/>
        <v>45368.750457523151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E23" sqref="E23"/>
    </sheetView>
  </sheetViews>
  <sheetFormatPr defaultRowHeight="15.75" x14ac:dyDescent="0.25"/>
  <cols>
    <col min="1" max="2" width="18" bestFit="1" customWidth="1"/>
    <col min="3" max="3" width="16.375" bestFit="1" customWidth="1"/>
    <col min="4" max="5" width="13" bestFit="1" customWidth="1"/>
    <col min="6" max="6" width="19.25" bestFit="1" customWidth="1"/>
    <col min="7" max="7" width="10.125" bestFit="1" customWidth="1"/>
    <col min="8" max="8" width="9.125" bestFit="1" customWidth="1"/>
  </cols>
  <sheetData>
    <row r="1" spans="1:8" x14ac:dyDescent="0.25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spans="1:8" x14ac:dyDescent="0.25">
      <c r="A2" s="26">
        <v>12800</v>
      </c>
      <c r="B2" s="27">
        <f>10%*A2</f>
        <v>1280</v>
      </c>
      <c r="C2" s="27">
        <f>12%*A2</f>
        <v>1536</v>
      </c>
      <c r="D2" s="27">
        <f>SUM(A2:C2)</f>
        <v>15616</v>
      </c>
      <c r="E2" s="27">
        <f>10%*A2</f>
        <v>1280</v>
      </c>
      <c r="F2" s="27">
        <f>D2-E2</f>
        <v>14336</v>
      </c>
      <c r="G2" s="27">
        <f t="shared" ref="G2:G5" si="0">IF(F2&lt;3000,0,IF(F2&lt;5000,2%*F2,IF(F2&lt;10000,5%*F2,IF(F2&lt;15000,10%*F2,15%*F2))))</f>
        <v>1433.6000000000001</v>
      </c>
      <c r="H2" s="28">
        <f>F2-G2</f>
        <v>12902.4</v>
      </c>
    </row>
    <row r="3" spans="1:8" x14ac:dyDescent="0.25">
      <c r="A3" s="24">
        <v>10</v>
      </c>
      <c r="B3">
        <f t="shared" ref="B3:B7" si="1">10%*A3</f>
        <v>1</v>
      </c>
      <c r="C3">
        <f t="shared" ref="C3:C7" si="2">12%*A3</f>
        <v>1.2</v>
      </c>
      <c r="D3">
        <f t="shared" ref="D3:D7" si="3">SUM(A3:C3)</f>
        <v>12.2</v>
      </c>
      <c r="E3">
        <f t="shared" ref="E3:E7" si="4">10%*A3</f>
        <v>1</v>
      </c>
      <c r="F3">
        <f t="shared" ref="F3:F7" si="5">D3-E3</f>
        <v>11.2</v>
      </c>
      <c r="G3">
        <f t="shared" si="0"/>
        <v>0</v>
      </c>
      <c r="H3" s="22">
        <f t="shared" ref="H3:H7" si="6">F3-G3</f>
        <v>11.2</v>
      </c>
    </row>
    <row r="4" spans="1:8" x14ac:dyDescent="0.25">
      <c r="A4" s="24">
        <v>8000</v>
      </c>
      <c r="B4">
        <f t="shared" si="1"/>
        <v>800</v>
      </c>
      <c r="C4">
        <f t="shared" si="2"/>
        <v>960</v>
      </c>
      <c r="D4">
        <f t="shared" si="3"/>
        <v>9760</v>
      </c>
      <c r="E4">
        <f t="shared" si="4"/>
        <v>800</v>
      </c>
      <c r="F4">
        <f t="shared" si="5"/>
        <v>8960</v>
      </c>
      <c r="G4">
        <f t="shared" si="0"/>
        <v>448</v>
      </c>
      <c r="H4" s="22">
        <f t="shared" si="6"/>
        <v>8512</v>
      </c>
    </row>
    <row r="5" spans="1:8" x14ac:dyDescent="0.25">
      <c r="A5" s="24">
        <v>250000</v>
      </c>
      <c r="B5">
        <f t="shared" si="1"/>
        <v>25000</v>
      </c>
      <c r="C5">
        <f t="shared" si="2"/>
        <v>30000</v>
      </c>
      <c r="D5">
        <f t="shared" si="3"/>
        <v>305000</v>
      </c>
      <c r="E5">
        <f t="shared" si="4"/>
        <v>25000</v>
      </c>
      <c r="F5">
        <f t="shared" si="5"/>
        <v>280000</v>
      </c>
      <c r="G5">
        <f t="shared" si="0"/>
        <v>42000</v>
      </c>
      <c r="H5" s="22">
        <f t="shared" si="6"/>
        <v>238000</v>
      </c>
    </row>
    <row r="6" spans="1:8" x14ac:dyDescent="0.25">
      <c r="A6" s="24">
        <v>3080</v>
      </c>
      <c r="B6">
        <f t="shared" si="1"/>
        <v>308</v>
      </c>
      <c r="C6">
        <f t="shared" si="2"/>
        <v>369.59999999999997</v>
      </c>
      <c r="D6">
        <f t="shared" si="3"/>
        <v>3757.6</v>
      </c>
      <c r="E6">
        <f t="shared" si="4"/>
        <v>308</v>
      </c>
      <c r="F6">
        <f t="shared" si="5"/>
        <v>3449.6</v>
      </c>
      <c r="G6">
        <f>IF(F6&lt;3000,0,IF(F6&lt;5000,2%*F6,IF(F6&lt;10000,5%*F6,IF(F6&lt;15000,10%*F6,15%*F6))))</f>
        <v>68.992000000000004</v>
      </c>
      <c r="H6" s="22">
        <f t="shared" si="6"/>
        <v>3380.6079999999997</v>
      </c>
    </row>
    <row r="7" spans="1:8" x14ac:dyDescent="0.25">
      <c r="A7" s="25">
        <v>300</v>
      </c>
      <c r="B7" s="21">
        <f t="shared" si="1"/>
        <v>30</v>
      </c>
      <c r="C7" s="21">
        <f t="shared" si="2"/>
        <v>36</v>
      </c>
      <c r="D7" s="21">
        <f t="shared" si="3"/>
        <v>366</v>
      </c>
      <c r="E7" s="21">
        <f t="shared" si="4"/>
        <v>30</v>
      </c>
      <c r="F7" s="21">
        <f t="shared" si="5"/>
        <v>336</v>
      </c>
      <c r="G7" s="21">
        <f>IF(F7&lt;3000,0,IF(F7&lt;5000,2%*F7,IF(F7&lt;10000,5%*F7,IF(F7&lt;15000,10%*F7,15%*F7))))</f>
        <v>0</v>
      </c>
      <c r="H7" s="23">
        <f t="shared" si="6"/>
        <v>336</v>
      </c>
    </row>
    <row r="9" spans="1:8" x14ac:dyDescent="0.25">
      <c r="A9" s="42" t="s">
        <v>53</v>
      </c>
      <c r="B9" s="42"/>
      <c r="C9" s="42"/>
      <c r="D9" s="42"/>
      <c r="E9" s="42"/>
      <c r="F9" s="42"/>
    </row>
    <row r="10" spans="1:8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54</v>
      </c>
      <c r="F10" s="5" t="s">
        <v>55</v>
      </c>
    </row>
    <row r="11" spans="1:8" x14ac:dyDescent="0.25">
      <c r="A11" s="24" t="s">
        <v>56</v>
      </c>
      <c r="B11" t="s">
        <v>57</v>
      </c>
      <c r="C11" t="s">
        <v>58</v>
      </c>
      <c r="D11" t="s">
        <v>56</v>
      </c>
      <c r="E11" t="s">
        <v>59</v>
      </c>
      <c r="F11" s="22">
        <v>0</v>
      </c>
    </row>
    <row r="12" spans="1:8" x14ac:dyDescent="0.25">
      <c r="A12" s="24"/>
      <c r="E12" t="s">
        <v>60</v>
      </c>
      <c r="F12" s="36">
        <v>0.02</v>
      </c>
    </row>
    <row r="13" spans="1:8" x14ac:dyDescent="0.25">
      <c r="A13" s="24"/>
      <c r="E13" t="s">
        <v>61</v>
      </c>
      <c r="F13" s="36">
        <v>0.05</v>
      </c>
    </row>
    <row r="14" spans="1:8" x14ac:dyDescent="0.25">
      <c r="A14" s="24"/>
      <c r="E14" t="s">
        <v>62</v>
      </c>
      <c r="F14" s="36">
        <v>0.1</v>
      </c>
    </row>
    <row r="15" spans="1:8" x14ac:dyDescent="0.25">
      <c r="A15" s="25"/>
      <c r="B15" s="21"/>
      <c r="C15" s="21"/>
      <c r="D15" s="21"/>
      <c r="E15" s="21" t="s">
        <v>63</v>
      </c>
      <c r="F15" s="37">
        <v>0.15</v>
      </c>
    </row>
  </sheetData>
  <mergeCells count="1">
    <mergeCell ref="A9:F9"/>
  </mergeCells>
  <pageMargins left="0.7" right="0.7" top="0.75" bottom="0.75" header="0.3" footer="0.3"/>
  <ignoredErrors>
    <ignoredError sqref="G2:G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>
      <selection activeCell="I28" sqref="I28"/>
    </sheetView>
  </sheetViews>
  <sheetFormatPr defaultRowHeight="15.75" x14ac:dyDescent="0.25"/>
  <cols>
    <col min="1" max="1" width="26.25" bestFit="1" customWidth="1"/>
    <col min="2" max="2" width="14.875" bestFit="1" customWidth="1"/>
    <col min="3" max="3" width="11.25" bestFit="1" customWidth="1"/>
    <col min="4" max="4" width="13" bestFit="1" customWidth="1"/>
    <col min="5" max="5" width="7.5" bestFit="1" customWidth="1"/>
    <col min="6" max="6" width="8.5" bestFit="1" customWidth="1"/>
    <col min="8" max="8" width="10" bestFit="1" customWidth="1"/>
  </cols>
  <sheetData>
    <row r="1" spans="1:8" x14ac:dyDescent="0.25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</row>
    <row r="2" spans="1:8" x14ac:dyDescent="0.25">
      <c r="A2" s="20">
        <v>111</v>
      </c>
      <c r="B2" s="1">
        <v>80</v>
      </c>
      <c r="C2" s="1">
        <f>IF(A2&lt;21,80,IF(A2&lt;51,(A2-20)*7.3+80,IF(A2&lt;151,(A2-50)*8.6+80+216,IF(A2&lt;251,(A2-150)*9.6+80+216+860,(A2-250)*11+80+216+860+960))))</f>
        <v>820.6</v>
      </c>
      <c r="D2" s="1">
        <f>10%*C2</f>
        <v>82.06</v>
      </c>
      <c r="E2" s="1">
        <f>C2+D2</f>
        <v>902.66000000000008</v>
      </c>
      <c r="F2" s="1">
        <f>13%*E2</f>
        <v>117.34580000000001</v>
      </c>
      <c r="G2" s="1">
        <f>10%*E2</f>
        <v>90.26600000000002</v>
      </c>
      <c r="H2" s="13">
        <f>E2+F2+G2</f>
        <v>1110.2718000000002</v>
      </c>
    </row>
    <row r="3" spans="1:8" x14ac:dyDescent="0.25">
      <c r="A3" s="15">
        <v>222</v>
      </c>
      <c r="B3" s="1">
        <v>80</v>
      </c>
      <c r="C3" s="1">
        <f t="shared" ref="C3:C12" si="0">IF(A3&lt;21,80,IF(A3&lt;51,(A3-20)*7.3+80,IF(A3&lt;151,(A3-50)*8.6+80+216,IF(A3&lt;251,(A3-150)*9.6+80+216+860,(A3-250)*11+80+216+860+960))))</f>
        <v>1847.1999999999998</v>
      </c>
      <c r="D3" s="1">
        <f t="shared" ref="D3:D12" si="1">10%*C3</f>
        <v>184.72</v>
      </c>
      <c r="E3" s="1">
        <f t="shared" ref="E3:E12" si="2">C3+D3</f>
        <v>2031.9199999999998</v>
      </c>
      <c r="F3" s="1">
        <f t="shared" ref="F3:F12" si="3">13%*E3</f>
        <v>264.14959999999996</v>
      </c>
      <c r="G3" s="1">
        <f t="shared" ref="G3:G12" si="4">10%*E3</f>
        <v>203.19200000000001</v>
      </c>
      <c r="H3" s="13">
        <f t="shared" ref="H3:H12" si="5">E3+F3+G3</f>
        <v>2499.2615999999998</v>
      </c>
    </row>
    <row r="4" spans="1:8" x14ac:dyDescent="0.25">
      <c r="A4" s="15">
        <v>333</v>
      </c>
      <c r="B4" s="1">
        <v>80</v>
      </c>
      <c r="C4" s="1">
        <f t="shared" si="0"/>
        <v>3029</v>
      </c>
      <c r="D4" s="1">
        <f t="shared" si="1"/>
        <v>302.90000000000003</v>
      </c>
      <c r="E4" s="1">
        <f t="shared" si="2"/>
        <v>3331.9</v>
      </c>
      <c r="F4" s="1">
        <f t="shared" si="3"/>
        <v>433.14700000000005</v>
      </c>
      <c r="G4" s="1">
        <f t="shared" si="4"/>
        <v>333.19000000000005</v>
      </c>
      <c r="H4" s="13">
        <f t="shared" si="5"/>
        <v>4098.2370000000001</v>
      </c>
    </row>
    <row r="5" spans="1:8" x14ac:dyDescent="0.25">
      <c r="A5" s="15">
        <v>444</v>
      </c>
      <c r="B5" s="1">
        <v>80</v>
      </c>
      <c r="C5" s="1">
        <f t="shared" si="0"/>
        <v>4250</v>
      </c>
      <c r="D5" s="1">
        <f t="shared" si="1"/>
        <v>425</v>
      </c>
      <c r="E5" s="1">
        <f t="shared" si="2"/>
        <v>4675</v>
      </c>
      <c r="F5" s="1">
        <f t="shared" si="3"/>
        <v>607.75</v>
      </c>
      <c r="G5" s="1">
        <f t="shared" si="4"/>
        <v>467.5</v>
      </c>
      <c r="H5" s="13">
        <f t="shared" si="5"/>
        <v>5750.25</v>
      </c>
    </row>
    <row r="6" spans="1:8" x14ac:dyDescent="0.25">
      <c r="A6" s="15">
        <v>555</v>
      </c>
      <c r="B6" s="1">
        <v>80</v>
      </c>
      <c r="C6" s="1">
        <f t="shared" si="0"/>
        <v>5471</v>
      </c>
      <c r="D6" s="1">
        <f t="shared" si="1"/>
        <v>547.1</v>
      </c>
      <c r="E6" s="1">
        <f t="shared" si="2"/>
        <v>6018.1</v>
      </c>
      <c r="F6" s="1">
        <f t="shared" si="3"/>
        <v>782.35300000000007</v>
      </c>
      <c r="G6" s="1">
        <f t="shared" si="4"/>
        <v>601.81000000000006</v>
      </c>
      <c r="H6" s="13">
        <f t="shared" si="5"/>
        <v>7402.2630000000008</v>
      </c>
    </row>
    <row r="7" spans="1:8" x14ac:dyDescent="0.25">
      <c r="A7" s="15">
        <v>666</v>
      </c>
      <c r="B7" s="1">
        <v>80</v>
      </c>
      <c r="C7" s="1">
        <f t="shared" si="0"/>
        <v>6692</v>
      </c>
      <c r="D7" s="1">
        <f t="shared" si="1"/>
        <v>669.2</v>
      </c>
      <c r="E7" s="1">
        <f t="shared" si="2"/>
        <v>7361.2</v>
      </c>
      <c r="F7" s="1">
        <f t="shared" si="3"/>
        <v>956.95600000000002</v>
      </c>
      <c r="G7" s="1">
        <f t="shared" si="4"/>
        <v>736.12</v>
      </c>
      <c r="H7" s="13">
        <f t="shared" si="5"/>
        <v>9054.2759999999998</v>
      </c>
    </row>
    <row r="8" spans="1:8" x14ac:dyDescent="0.25">
      <c r="A8" s="15">
        <v>777</v>
      </c>
      <c r="B8" s="1">
        <v>80</v>
      </c>
      <c r="C8" s="1">
        <f t="shared" si="0"/>
        <v>7913</v>
      </c>
      <c r="D8" s="1">
        <f t="shared" si="1"/>
        <v>791.30000000000007</v>
      </c>
      <c r="E8" s="1">
        <f t="shared" si="2"/>
        <v>8704.2999999999993</v>
      </c>
      <c r="F8" s="1">
        <f t="shared" si="3"/>
        <v>1131.559</v>
      </c>
      <c r="G8" s="1">
        <f t="shared" si="4"/>
        <v>870.43</v>
      </c>
      <c r="H8" s="13">
        <f t="shared" si="5"/>
        <v>10706.288999999999</v>
      </c>
    </row>
    <row r="9" spans="1:8" x14ac:dyDescent="0.25">
      <c r="A9" s="15">
        <v>888</v>
      </c>
      <c r="B9" s="1">
        <v>80</v>
      </c>
      <c r="C9" s="1">
        <f t="shared" si="0"/>
        <v>9134</v>
      </c>
      <c r="D9" s="1">
        <f t="shared" si="1"/>
        <v>913.40000000000009</v>
      </c>
      <c r="E9" s="1">
        <f t="shared" si="2"/>
        <v>10047.4</v>
      </c>
      <c r="F9" s="1">
        <f t="shared" si="3"/>
        <v>1306.162</v>
      </c>
      <c r="G9" s="1">
        <f t="shared" si="4"/>
        <v>1004.74</v>
      </c>
      <c r="H9" s="13">
        <f t="shared" si="5"/>
        <v>12358.302</v>
      </c>
    </row>
    <row r="10" spans="1:8" x14ac:dyDescent="0.25">
      <c r="A10" s="15">
        <v>999</v>
      </c>
      <c r="B10" s="1">
        <v>80</v>
      </c>
      <c r="C10" s="1">
        <f t="shared" si="0"/>
        <v>10355</v>
      </c>
      <c r="D10" s="1">
        <f t="shared" si="1"/>
        <v>1035.5</v>
      </c>
      <c r="E10" s="1">
        <f t="shared" si="2"/>
        <v>11390.5</v>
      </c>
      <c r="F10" s="1">
        <f t="shared" si="3"/>
        <v>1480.7650000000001</v>
      </c>
      <c r="G10" s="1">
        <f t="shared" si="4"/>
        <v>1139.05</v>
      </c>
      <c r="H10" s="13">
        <f t="shared" si="5"/>
        <v>14010.314999999999</v>
      </c>
    </row>
    <row r="11" spans="1:8" x14ac:dyDescent="0.25">
      <c r="A11" s="15">
        <v>600</v>
      </c>
      <c r="B11" s="1">
        <v>80</v>
      </c>
      <c r="C11" s="1">
        <f t="shared" si="0"/>
        <v>5966</v>
      </c>
      <c r="D11" s="1">
        <f t="shared" si="1"/>
        <v>596.6</v>
      </c>
      <c r="E11" s="1">
        <f t="shared" si="2"/>
        <v>6562.6</v>
      </c>
      <c r="F11" s="1">
        <f t="shared" si="3"/>
        <v>853.13800000000003</v>
      </c>
      <c r="G11" s="1">
        <f t="shared" si="4"/>
        <v>656.2600000000001</v>
      </c>
      <c r="H11" s="13">
        <f t="shared" si="5"/>
        <v>8071.9980000000005</v>
      </c>
    </row>
    <row r="12" spans="1:8" x14ac:dyDescent="0.25">
      <c r="A12" s="16">
        <v>20</v>
      </c>
      <c r="B12" s="7">
        <v>80</v>
      </c>
      <c r="C12" s="7">
        <f t="shared" si="0"/>
        <v>80</v>
      </c>
      <c r="D12" s="7">
        <f t="shared" si="1"/>
        <v>8</v>
      </c>
      <c r="E12" s="7">
        <f t="shared" si="2"/>
        <v>88</v>
      </c>
      <c r="F12" s="7">
        <f t="shared" si="3"/>
        <v>11.440000000000001</v>
      </c>
      <c r="G12" s="7">
        <f t="shared" si="4"/>
        <v>8.8000000000000007</v>
      </c>
      <c r="H12" s="14">
        <f t="shared" si="5"/>
        <v>108.24</v>
      </c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42" t="s">
        <v>53</v>
      </c>
      <c r="B15" s="42"/>
      <c r="C15" s="42"/>
      <c r="D15" s="42"/>
      <c r="E15" s="42"/>
      <c r="F15" s="42"/>
      <c r="G15" s="1"/>
      <c r="H15" s="1"/>
    </row>
    <row r="16" spans="1:8" x14ac:dyDescent="0.25">
      <c r="A16" s="4" t="s">
        <v>72</v>
      </c>
      <c r="B16" s="4" t="s">
        <v>73</v>
      </c>
      <c r="C16" s="4" t="s">
        <v>78</v>
      </c>
      <c r="D16" s="4" t="s">
        <v>67</v>
      </c>
      <c r="E16" s="4" t="s">
        <v>69</v>
      </c>
      <c r="F16" s="4" t="s">
        <v>70</v>
      </c>
      <c r="G16" s="1"/>
      <c r="H16" s="1"/>
    </row>
    <row r="17" spans="1:8" x14ac:dyDescent="0.25">
      <c r="A17" s="10">
        <v>80</v>
      </c>
      <c r="B17" s="1" t="s">
        <v>74</v>
      </c>
      <c r="C17" s="1">
        <v>7.3</v>
      </c>
      <c r="D17" s="38">
        <v>0.1</v>
      </c>
      <c r="E17" s="38">
        <v>0.13</v>
      </c>
      <c r="F17" s="39">
        <v>0.1</v>
      </c>
      <c r="G17" s="1"/>
      <c r="H17" s="1"/>
    </row>
    <row r="18" spans="1:8" x14ac:dyDescent="0.25">
      <c r="A18" s="10"/>
      <c r="B18" s="1" t="s">
        <v>75</v>
      </c>
      <c r="C18" s="1">
        <v>8.6</v>
      </c>
      <c r="D18" s="1"/>
      <c r="E18" s="1"/>
      <c r="F18" s="13"/>
      <c r="G18" s="1"/>
      <c r="H18" s="1"/>
    </row>
    <row r="19" spans="1:8" x14ac:dyDescent="0.25">
      <c r="A19" s="10"/>
      <c r="B19" s="1" t="s">
        <v>76</v>
      </c>
      <c r="C19" s="1">
        <v>9.6</v>
      </c>
      <c r="D19" s="1"/>
      <c r="E19" s="1"/>
      <c r="F19" s="13"/>
      <c r="G19" s="1"/>
      <c r="H19" s="1"/>
    </row>
    <row r="20" spans="1:8" x14ac:dyDescent="0.25">
      <c r="A20" s="11"/>
      <c r="B20" s="7" t="s">
        <v>77</v>
      </c>
      <c r="C20" s="7">
        <v>11</v>
      </c>
      <c r="D20" s="7"/>
      <c r="E20" s="7"/>
      <c r="F20" s="14"/>
      <c r="G20" s="1"/>
      <c r="H20" s="1"/>
    </row>
  </sheetData>
  <mergeCells count="1">
    <mergeCell ref="A15:F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tabSelected="1" workbookViewId="0">
      <selection activeCell="G14" sqref="G14"/>
    </sheetView>
  </sheetViews>
  <sheetFormatPr defaultRowHeight="15.75" x14ac:dyDescent="0.25"/>
  <cols>
    <col min="2" max="2" width="11.625" bestFit="1" customWidth="1"/>
    <col min="3" max="3" width="14.75" bestFit="1" customWidth="1"/>
    <col min="4" max="4" width="9.5" bestFit="1" customWidth="1"/>
    <col min="6" max="6" width="8.875" bestFit="1" customWidth="1"/>
    <col min="7" max="7" width="10.375" customWidth="1"/>
    <col min="8" max="8" width="11.625" bestFit="1" customWidth="1"/>
  </cols>
  <sheetData>
    <row r="1" spans="1:9" x14ac:dyDescent="0.25">
      <c r="A1" s="42" t="s">
        <v>79</v>
      </c>
      <c r="B1" s="42"/>
      <c r="C1" s="42"/>
      <c r="D1" s="42"/>
    </row>
    <row r="2" spans="1:9" x14ac:dyDescent="0.25">
      <c r="A2" s="5" t="s">
        <v>80</v>
      </c>
      <c r="B2" s="5" t="s">
        <v>81</v>
      </c>
      <c r="C2" s="5" t="s">
        <v>82</v>
      </c>
      <c r="D2" s="5" t="s">
        <v>83</v>
      </c>
    </row>
    <row r="3" spans="1:9" x14ac:dyDescent="0.25">
      <c r="A3" s="33" t="s">
        <v>84</v>
      </c>
      <c r="B3" s="27" t="s">
        <v>85</v>
      </c>
      <c r="C3" s="27">
        <v>5</v>
      </c>
      <c r="D3" s="28">
        <v>40000</v>
      </c>
    </row>
    <row r="4" spans="1:9" x14ac:dyDescent="0.25">
      <c r="A4" s="31" t="s">
        <v>86</v>
      </c>
      <c r="B4" t="s">
        <v>87</v>
      </c>
      <c r="C4">
        <v>7</v>
      </c>
      <c r="D4" s="22">
        <v>50000</v>
      </c>
    </row>
    <row r="5" spans="1:9" x14ac:dyDescent="0.25">
      <c r="A5" s="31" t="s">
        <v>88</v>
      </c>
      <c r="B5" t="s">
        <v>89</v>
      </c>
      <c r="C5">
        <v>2</v>
      </c>
      <c r="D5" s="22">
        <v>65000</v>
      </c>
    </row>
    <row r="6" spans="1:9" x14ac:dyDescent="0.25">
      <c r="A6" s="31" t="s">
        <v>90</v>
      </c>
      <c r="B6" t="s">
        <v>91</v>
      </c>
      <c r="C6">
        <v>3</v>
      </c>
      <c r="D6" s="22">
        <v>80000</v>
      </c>
    </row>
    <row r="7" spans="1:9" x14ac:dyDescent="0.25">
      <c r="A7" s="31" t="s">
        <v>92</v>
      </c>
      <c r="B7" t="s">
        <v>93</v>
      </c>
      <c r="C7">
        <v>4</v>
      </c>
      <c r="D7" s="22">
        <v>90000</v>
      </c>
    </row>
    <row r="8" spans="1:9" x14ac:dyDescent="0.25">
      <c r="A8" s="31" t="s">
        <v>94</v>
      </c>
      <c r="B8" t="s">
        <v>95</v>
      </c>
      <c r="C8">
        <v>6</v>
      </c>
      <c r="D8" s="22">
        <v>105000</v>
      </c>
    </row>
    <row r="9" spans="1:9" x14ac:dyDescent="0.25">
      <c r="A9" s="31" t="s">
        <v>96</v>
      </c>
      <c r="B9" t="s">
        <v>97</v>
      </c>
      <c r="C9">
        <v>12</v>
      </c>
      <c r="D9" s="22">
        <v>125000</v>
      </c>
    </row>
    <row r="10" spans="1:9" x14ac:dyDescent="0.25">
      <c r="A10" s="32" t="s">
        <v>98</v>
      </c>
      <c r="B10" s="21" t="s">
        <v>99</v>
      </c>
      <c r="C10" s="21">
        <v>60</v>
      </c>
      <c r="D10" s="23">
        <v>165000</v>
      </c>
    </row>
    <row r="12" spans="1:9" x14ac:dyDescent="0.25">
      <c r="A12" s="43" t="s">
        <v>100</v>
      </c>
      <c r="B12" s="43"/>
      <c r="C12" s="43"/>
      <c r="D12" s="43"/>
      <c r="F12" s="43" t="s">
        <v>104</v>
      </c>
      <c r="G12" s="43"/>
      <c r="H12" s="43"/>
      <c r="I12" s="43"/>
    </row>
    <row r="13" spans="1:9" x14ac:dyDescent="0.25">
      <c r="A13" s="5" t="s">
        <v>101</v>
      </c>
      <c r="B13" s="5" t="s">
        <v>83</v>
      </c>
      <c r="C13" s="5" t="s">
        <v>102</v>
      </c>
      <c r="D13" s="5" t="s">
        <v>103</v>
      </c>
      <c r="F13" s="5" t="s">
        <v>101</v>
      </c>
      <c r="G13" s="5" t="s">
        <v>83</v>
      </c>
      <c r="H13" s="5" t="s">
        <v>102</v>
      </c>
      <c r="I13" s="5" t="s">
        <v>103</v>
      </c>
    </row>
    <row r="14" spans="1:9" x14ac:dyDescent="0.25">
      <c r="A14" s="24" t="s">
        <v>94</v>
      </c>
      <c r="B14">
        <f>VLOOKUP(A14,A3:D10,4,0)</f>
        <v>105000</v>
      </c>
      <c r="C14">
        <v>2</v>
      </c>
      <c r="D14" s="22">
        <f>C14*B14</f>
        <v>210000</v>
      </c>
      <c r="F14" s="24" t="s">
        <v>90</v>
      </c>
      <c r="G14">
        <f>VLOOKUP(F14,A3:D10,4,0)</f>
        <v>80000</v>
      </c>
      <c r="H14">
        <v>6</v>
      </c>
      <c r="I14" s="22">
        <f>H14*G14</f>
        <v>480000</v>
      </c>
    </row>
    <row r="15" spans="1:9" x14ac:dyDescent="0.25">
      <c r="A15" s="24" t="s">
        <v>88</v>
      </c>
      <c r="B15">
        <f t="shared" ref="B15:B20" si="0">VLOOKUP(A15,A4:D11,4,0)</f>
        <v>65000</v>
      </c>
      <c r="C15">
        <v>7</v>
      </c>
      <c r="D15" s="22">
        <f t="shared" ref="D15:D20" si="1">C15*B15</f>
        <v>455000</v>
      </c>
      <c r="F15" s="24"/>
      <c r="H15">
        <v>54</v>
      </c>
      <c r="I15" s="22"/>
    </row>
    <row r="16" spans="1:9" x14ac:dyDescent="0.25">
      <c r="A16" s="24" t="s">
        <v>90</v>
      </c>
      <c r="B16">
        <f t="shared" si="0"/>
        <v>80000</v>
      </c>
      <c r="C16">
        <v>90</v>
      </c>
      <c r="D16" s="22">
        <f t="shared" si="1"/>
        <v>7200000</v>
      </c>
      <c r="F16" s="24"/>
      <c r="H16">
        <v>31</v>
      </c>
      <c r="I16" s="22"/>
    </row>
    <row r="17" spans="1:9" x14ac:dyDescent="0.25">
      <c r="A17" s="24" t="s">
        <v>92</v>
      </c>
      <c r="B17">
        <f t="shared" si="0"/>
        <v>90000</v>
      </c>
      <c r="C17">
        <v>30</v>
      </c>
      <c r="D17" s="22">
        <f t="shared" si="1"/>
        <v>2700000</v>
      </c>
      <c r="F17" s="24"/>
      <c r="H17">
        <v>6</v>
      </c>
      <c r="I17" s="22"/>
    </row>
    <row r="18" spans="1:9" x14ac:dyDescent="0.25">
      <c r="A18" s="24" t="s">
        <v>94</v>
      </c>
      <c r="B18">
        <f t="shared" si="0"/>
        <v>105000</v>
      </c>
      <c r="C18">
        <v>2</v>
      </c>
      <c r="D18" s="22">
        <f t="shared" si="1"/>
        <v>210000</v>
      </c>
      <c r="F18" s="24"/>
      <c r="H18">
        <v>1</v>
      </c>
      <c r="I18" s="22"/>
    </row>
    <row r="19" spans="1:9" x14ac:dyDescent="0.25">
      <c r="A19" s="24" t="s">
        <v>96</v>
      </c>
      <c r="B19">
        <f t="shared" si="0"/>
        <v>125000</v>
      </c>
      <c r="C19">
        <v>1</v>
      </c>
      <c r="D19" s="22">
        <f t="shared" si="1"/>
        <v>125000</v>
      </c>
      <c r="F19" s="25"/>
      <c r="G19" s="21"/>
      <c r="H19" s="21">
        <v>12</v>
      </c>
      <c r="I19" s="23"/>
    </row>
    <row r="20" spans="1:9" x14ac:dyDescent="0.25">
      <c r="A20" s="25" t="s">
        <v>98</v>
      </c>
      <c r="B20" s="21">
        <f t="shared" si="0"/>
        <v>165000</v>
      </c>
      <c r="C20" s="21">
        <v>5</v>
      </c>
      <c r="D20" s="23">
        <f t="shared" si="1"/>
        <v>825000</v>
      </c>
    </row>
  </sheetData>
  <mergeCells count="3">
    <mergeCell ref="A1:D1"/>
    <mergeCell ref="A12:D12"/>
    <mergeCell ref="F12:I12"/>
  </mergeCells>
  <dataValidations count="1">
    <dataValidation type="list" allowBlank="1" showInputMessage="1" showErrorMessage="1" sqref="F14" xr:uid="{00000000-0002-0000-0500-000000000000}">
      <formula1>$A$3:$A$10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3"/>
  <sheetViews>
    <sheetView workbookViewId="0">
      <selection activeCell="E13" sqref="E13"/>
    </sheetView>
  </sheetViews>
  <sheetFormatPr defaultRowHeight="15.75" x14ac:dyDescent="0.25"/>
  <cols>
    <col min="1" max="1" width="12" bestFit="1" customWidth="1"/>
  </cols>
  <sheetData>
    <row r="1" spans="1:16" x14ac:dyDescent="0.25">
      <c r="A1" s="5" t="s">
        <v>105</v>
      </c>
      <c r="B1" s="5">
        <v>2010</v>
      </c>
      <c r="C1" s="5">
        <v>2011</v>
      </c>
      <c r="D1" s="5">
        <v>2012</v>
      </c>
      <c r="E1" s="5">
        <v>2013</v>
      </c>
      <c r="F1" s="5">
        <v>2014</v>
      </c>
      <c r="G1" s="5">
        <v>2015</v>
      </c>
      <c r="H1" s="5">
        <v>2016</v>
      </c>
      <c r="I1" s="5">
        <v>2017</v>
      </c>
      <c r="J1" s="5">
        <v>2018</v>
      </c>
      <c r="K1" s="5">
        <v>2019</v>
      </c>
      <c r="L1" s="5">
        <v>2020</v>
      </c>
      <c r="M1" s="5">
        <v>2021</v>
      </c>
      <c r="N1" s="5">
        <v>2022</v>
      </c>
      <c r="O1" s="5">
        <v>2023</v>
      </c>
      <c r="P1" s="5">
        <v>2024</v>
      </c>
    </row>
    <row r="2" spans="1:16" x14ac:dyDescent="0.25">
      <c r="A2" s="31" t="s">
        <v>106</v>
      </c>
      <c r="B2">
        <f ca="1">RANDBETWEEN(0,1000000)</f>
        <v>495819</v>
      </c>
      <c r="C2">
        <f t="shared" ref="C2:P16" ca="1" si="0">RANDBETWEEN(0,1000000)</f>
        <v>813450</v>
      </c>
      <c r="D2">
        <f t="shared" ca="1" si="0"/>
        <v>125749</v>
      </c>
      <c r="E2">
        <f t="shared" ca="1" si="0"/>
        <v>349288</v>
      </c>
      <c r="F2">
        <f t="shared" ca="1" si="0"/>
        <v>794060</v>
      </c>
      <c r="G2">
        <f t="shared" ca="1" si="0"/>
        <v>772446</v>
      </c>
      <c r="H2">
        <f t="shared" ca="1" si="0"/>
        <v>948385</v>
      </c>
      <c r="I2">
        <f t="shared" ca="1" si="0"/>
        <v>88877</v>
      </c>
      <c r="J2">
        <f t="shared" ca="1" si="0"/>
        <v>608097</v>
      </c>
      <c r="K2">
        <f t="shared" ca="1" si="0"/>
        <v>773836</v>
      </c>
      <c r="L2">
        <f t="shared" ca="1" si="0"/>
        <v>389112</v>
      </c>
      <c r="M2">
        <f t="shared" ca="1" si="0"/>
        <v>436457</v>
      </c>
      <c r="N2">
        <f t="shared" ca="1" si="0"/>
        <v>540</v>
      </c>
      <c r="O2">
        <f t="shared" ca="1" si="0"/>
        <v>500025</v>
      </c>
      <c r="P2" s="22">
        <f t="shared" ca="1" si="0"/>
        <v>533063</v>
      </c>
    </row>
    <row r="3" spans="1:16" x14ac:dyDescent="0.25">
      <c r="A3" s="31" t="s">
        <v>107</v>
      </c>
      <c r="B3">
        <f t="shared" ref="B3:B16" ca="1" si="1">RANDBETWEEN(0,1000000)</f>
        <v>574137</v>
      </c>
      <c r="C3">
        <f t="shared" ca="1" si="0"/>
        <v>860595</v>
      </c>
      <c r="D3">
        <f t="shared" ca="1" si="0"/>
        <v>172413</v>
      </c>
      <c r="E3">
        <f t="shared" ca="1" si="0"/>
        <v>689655</v>
      </c>
      <c r="F3">
        <f t="shared" ca="1" si="0"/>
        <v>633083</v>
      </c>
      <c r="G3">
        <f t="shared" ca="1" si="0"/>
        <v>467172</v>
      </c>
      <c r="H3">
        <f t="shared" ca="1" si="0"/>
        <v>126154</v>
      </c>
      <c r="I3">
        <f t="shared" ca="1" si="0"/>
        <v>554054</v>
      </c>
      <c r="J3">
        <f t="shared" ca="1" si="0"/>
        <v>811207</v>
      </c>
      <c r="K3">
        <f t="shared" ca="1" si="0"/>
        <v>141543</v>
      </c>
      <c r="L3">
        <f t="shared" ca="1" si="0"/>
        <v>804323</v>
      </c>
      <c r="M3">
        <f t="shared" ca="1" si="0"/>
        <v>932352</v>
      </c>
      <c r="N3">
        <f t="shared" ca="1" si="0"/>
        <v>990173</v>
      </c>
      <c r="O3">
        <f t="shared" ca="1" si="0"/>
        <v>141302</v>
      </c>
      <c r="P3" s="22">
        <f t="shared" ca="1" si="0"/>
        <v>239913</v>
      </c>
    </row>
    <row r="4" spans="1:16" x14ac:dyDescent="0.25">
      <c r="A4" s="31" t="s">
        <v>108</v>
      </c>
      <c r="B4">
        <f t="shared" ca="1" si="1"/>
        <v>25234</v>
      </c>
      <c r="C4">
        <f t="shared" ca="1" si="0"/>
        <v>946664</v>
      </c>
      <c r="D4">
        <f t="shared" ca="1" si="0"/>
        <v>636245</v>
      </c>
      <c r="E4">
        <f t="shared" ca="1" si="0"/>
        <v>630006</v>
      </c>
      <c r="F4">
        <f t="shared" ca="1" si="0"/>
        <v>25594</v>
      </c>
      <c r="G4">
        <f t="shared" ca="1" si="0"/>
        <v>61583</v>
      </c>
      <c r="H4">
        <f t="shared" ca="1" si="0"/>
        <v>243023</v>
      </c>
      <c r="I4">
        <f t="shared" ca="1" si="0"/>
        <v>120232</v>
      </c>
      <c r="J4">
        <f t="shared" ca="1" si="0"/>
        <v>607289</v>
      </c>
      <c r="K4">
        <f t="shared" ca="1" si="0"/>
        <v>295020</v>
      </c>
      <c r="L4">
        <f t="shared" ca="1" si="0"/>
        <v>330423</v>
      </c>
      <c r="M4">
        <f t="shared" ca="1" si="0"/>
        <v>956142</v>
      </c>
      <c r="N4">
        <f t="shared" ca="1" si="0"/>
        <v>398824</v>
      </c>
      <c r="O4">
        <f t="shared" ca="1" si="0"/>
        <v>850272</v>
      </c>
      <c r="P4" s="22">
        <f t="shared" ca="1" si="0"/>
        <v>397630</v>
      </c>
    </row>
    <row r="5" spans="1:16" x14ac:dyDescent="0.25">
      <c r="A5" s="31" t="s">
        <v>109</v>
      </c>
      <c r="B5">
        <f t="shared" ca="1" si="1"/>
        <v>664424</v>
      </c>
      <c r="C5">
        <f t="shared" ca="1" si="0"/>
        <v>871138</v>
      </c>
      <c r="D5">
        <f t="shared" ca="1" si="0"/>
        <v>969291</v>
      </c>
      <c r="E5">
        <f t="shared" ca="1" si="0"/>
        <v>319684</v>
      </c>
      <c r="F5">
        <f t="shared" ca="1" si="0"/>
        <v>579428</v>
      </c>
      <c r="G5">
        <f t="shared" ca="1" si="0"/>
        <v>844998</v>
      </c>
      <c r="H5">
        <f t="shared" ca="1" si="0"/>
        <v>224686</v>
      </c>
      <c r="I5">
        <f t="shared" ca="1" si="0"/>
        <v>157799</v>
      </c>
      <c r="J5">
        <f t="shared" ca="1" si="0"/>
        <v>196234</v>
      </c>
      <c r="K5">
        <f t="shared" ca="1" si="0"/>
        <v>25861</v>
      </c>
      <c r="L5">
        <f t="shared" ca="1" si="0"/>
        <v>533577</v>
      </c>
      <c r="M5">
        <f t="shared" ca="1" si="0"/>
        <v>533156</v>
      </c>
      <c r="N5">
        <f t="shared" ca="1" si="0"/>
        <v>283618</v>
      </c>
      <c r="O5">
        <f t="shared" ca="1" si="0"/>
        <v>344355</v>
      </c>
      <c r="P5" s="22">
        <f t="shared" ca="1" si="0"/>
        <v>777397</v>
      </c>
    </row>
    <row r="6" spans="1:16" x14ac:dyDescent="0.25">
      <c r="A6" s="31" t="s">
        <v>110</v>
      </c>
      <c r="B6">
        <f t="shared" ca="1" si="1"/>
        <v>936841</v>
      </c>
      <c r="C6">
        <f t="shared" ca="1" si="0"/>
        <v>997039</v>
      </c>
      <c r="D6">
        <f t="shared" ca="1" si="0"/>
        <v>109731</v>
      </c>
      <c r="E6">
        <f t="shared" ca="1" si="0"/>
        <v>507050</v>
      </c>
      <c r="F6">
        <f t="shared" ca="1" si="0"/>
        <v>859898</v>
      </c>
      <c r="G6">
        <f t="shared" ca="1" si="0"/>
        <v>162719</v>
      </c>
      <c r="H6">
        <f t="shared" ca="1" si="0"/>
        <v>12084</v>
      </c>
      <c r="I6">
        <f t="shared" ca="1" si="0"/>
        <v>13811</v>
      </c>
      <c r="J6">
        <f t="shared" ca="1" si="0"/>
        <v>323154</v>
      </c>
      <c r="K6">
        <f t="shared" ca="1" si="0"/>
        <v>599943</v>
      </c>
      <c r="L6">
        <f t="shared" ca="1" si="0"/>
        <v>367737</v>
      </c>
      <c r="M6">
        <f t="shared" ca="1" si="0"/>
        <v>201996</v>
      </c>
      <c r="N6">
        <f t="shared" ca="1" si="0"/>
        <v>164366</v>
      </c>
      <c r="O6">
        <f t="shared" ca="1" si="0"/>
        <v>368207</v>
      </c>
      <c r="P6" s="22">
        <f t="shared" ca="1" si="0"/>
        <v>250757</v>
      </c>
    </row>
    <row r="7" spans="1:16" x14ac:dyDescent="0.25">
      <c r="A7" s="31" t="s">
        <v>111</v>
      </c>
      <c r="B7">
        <f t="shared" ca="1" si="1"/>
        <v>64895</v>
      </c>
      <c r="C7">
        <f t="shared" ca="1" si="0"/>
        <v>545729</v>
      </c>
      <c r="D7">
        <f t="shared" ca="1" si="0"/>
        <v>549362</v>
      </c>
      <c r="E7">
        <f t="shared" ca="1" si="0"/>
        <v>82498</v>
      </c>
      <c r="F7">
        <f t="shared" ca="1" si="0"/>
        <v>838624</v>
      </c>
      <c r="G7">
        <f t="shared" ca="1" si="0"/>
        <v>277525</v>
      </c>
      <c r="H7">
        <f t="shared" ca="1" si="0"/>
        <v>169814</v>
      </c>
      <c r="I7">
        <f t="shared" ca="1" si="0"/>
        <v>930939</v>
      </c>
      <c r="J7">
        <f t="shared" ca="1" si="0"/>
        <v>802176</v>
      </c>
      <c r="K7">
        <f t="shared" ca="1" si="0"/>
        <v>662831</v>
      </c>
      <c r="L7">
        <f t="shared" ca="1" si="0"/>
        <v>593390</v>
      </c>
      <c r="M7">
        <f t="shared" ca="1" si="0"/>
        <v>563026</v>
      </c>
      <c r="N7">
        <f t="shared" ca="1" si="0"/>
        <v>876746</v>
      </c>
      <c r="O7">
        <f t="shared" ca="1" si="0"/>
        <v>386421</v>
      </c>
      <c r="P7" s="22">
        <f t="shared" ca="1" si="0"/>
        <v>987214</v>
      </c>
    </row>
    <row r="8" spans="1:16" x14ac:dyDescent="0.25">
      <c r="A8" s="31" t="s">
        <v>112</v>
      </c>
      <c r="B8">
        <f t="shared" ca="1" si="1"/>
        <v>510797</v>
      </c>
      <c r="C8">
        <f t="shared" ca="1" si="0"/>
        <v>721218</v>
      </c>
      <c r="D8">
        <f t="shared" ca="1" si="0"/>
        <v>980124</v>
      </c>
      <c r="E8">
        <f t="shared" ca="1" si="0"/>
        <v>294867</v>
      </c>
      <c r="F8">
        <f t="shared" ca="1" si="0"/>
        <v>897738</v>
      </c>
      <c r="G8">
        <f t="shared" ca="1" si="0"/>
        <v>301823</v>
      </c>
      <c r="H8">
        <f t="shared" ca="1" si="0"/>
        <v>800253</v>
      </c>
      <c r="I8">
        <f t="shared" ca="1" si="0"/>
        <v>960078</v>
      </c>
      <c r="J8">
        <f t="shared" ca="1" si="0"/>
        <v>826595</v>
      </c>
      <c r="K8">
        <f t="shared" ca="1" si="0"/>
        <v>201250</v>
      </c>
      <c r="L8">
        <f t="shared" ca="1" si="0"/>
        <v>991295</v>
      </c>
      <c r="M8">
        <f t="shared" ca="1" si="0"/>
        <v>48873</v>
      </c>
      <c r="N8">
        <f t="shared" ca="1" si="0"/>
        <v>492956</v>
      </c>
      <c r="O8">
        <f t="shared" ca="1" si="0"/>
        <v>630597</v>
      </c>
      <c r="P8" s="22">
        <f t="shared" ca="1" si="0"/>
        <v>94076</v>
      </c>
    </row>
    <row r="9" spans="1:16" x14ac:dyDescent="0.25">
      <c r="A9" s="31" t="s">
        <v>113</v>
      </c>
      <c r="B9">
        <f t="shared" ca="1" si="1"/>
        <v>298752</v>
      </c>
      <c r="C9">
        <f t="shared" ca="1" si="0"/>
        <v>144310</v>
      </c>
      <c r="D9">
        <f t="shared" ca="1" si="0"/>
        <v>581672</v>
      </c>
      <c r="E9">
        <f t="shared" ca="1" si="0"/>
        <v>452931</v>
      </c>
      <c r="F9">
        <f t="shared" ca="1" si="0"/>
        <v>350131</v>
      </c>
      <c r="G9">
        <f t="shared" ca="1" si="0"/>
        <v>880578</v>
      </c>
      <c r="H9">
        <f t="shared" ca="1" si="0"/>
        <v>261102</v>
      </c>
      <c r="I9">
        <f t="shared" ca="1" si="0"/>
        <v>480886</v>
      </c>
      <c r="J9">
        <f t="shared" ca="1" si="0"/>
        <v>160100</v>
      </c>
      <c r="K9">
        <f t="shared" ca="1" si="0"/>
        <v>606709</v>
      </c>
      <c r="L9">
        <f t="shared" ca="1" si="0"/>
        <v>540878</v>
      </c>
      <c r="M9">
        <f t="shared" ca="1" si="0"/>
        <v>367485</v>
      </c>
      <c r="N9">
        <f t="shared" ca="1" si="0"/>
        <v>996012</v>
      </c>
      <c r="O9">
        <f t="shared" ca="1" si="0"/>
        <v>932023</v>
      </c>
      <c r="P9" s="22">
        <f t="shared" ca="1" si="0"/>
        <v>899829</v>
      </c>
    </row>
    <row r="10" spans="1:16" x14ac:dyDescent="0.25">
      <c r="A10" s="31" t="s">
        <v>114</v>
      </c>
      <c r="B10">
        <f t="shared" ca="1" si="1"/>
        <v>748863</v>
      </c>
      <c r="C10">
        <f t="shared" ca="1" si="0"/>
        <v>363887</v>
      </c>
      <c r="D10">
        <f t="shared" ca="1" si="0"/>
        <v>542726</v>
      </c>
      <c r="E10">
        <f t="shared" ca="1" si="0"/>
        <v>59538</v>
      </c>
      <c r="F10">
        <f t="shared" ca="1" si="0"/>
        <v>617783</v>
      </c>
      <c r="G10">
        <f t="shared" ca="1" si="0"/>
        <v>901610</v>
      </c>
      <c r="H10">
        <f t="shared" ca="1" si="0"/>
        <v>242961</v>
      </c>
      <c r="I10">
        <f t="shared" ca="1" si="0"/>
        <v>435048</v>
      </c>
      <c r="J10">
        <f t="shared" ca="1" si="0"/>
        <v>297913</v>
      </c>
      <c r="K10">
        <f t="shared" ca="1" si="0"/>
        <v>733161</v>
      </c>
      <c r="L10">
        <f t="shared" ca="1" si="0"/>
        <v>740633</v>
      </c>
      <c r="M10">
        <f t="shared" ca="1" si="0"/>
        <v>432010</v>
      </c>
      <c r="N10">
        <f t="shared" ca="1" si="0"/>
        <v>948034</v>
      </c>
      <c r="O10">
        <f t="shared" ca="1" si="0"/>
        <v>776699</v>
      </c>
      <c r="P10" s="22">
        <f t="shared" ca="1" si="0"/>
        <v>36998</v>
      </c>
    </row>
    <row r="11" spans="1:16" x14ac:dyDescent="0.25">
      <c r="A11" s="31" t="s">
        <v>115</v>
      </c>
      <c r="B11">
        <f t="shared" ca="1" si="1"/>
        <v>765818</v>
      </c>
      <c r="C11">
        <f t="shared" ca="1" si="0"/>
        <v>440609</v>
      </c>
      <c r="D11">
        <f t="shared" ca="1" si="0"/>
        <v>524622</v>
      </c>
      <c r="E11">
        <f t="shared" ca="1" si="0"/>
        <v>263200</v>
      </c>
      <c r="F11">
        <f t="shared" ca="1" si="0"/>
        <v>564792</v>
      </c>
      <c r="G11">
        <f t="shared" ca="1" si="0"/>
        <v>486077</v>
      </c>
      <c r="H11">
        <f t="shared" ca="1" si="0"/>
        <v>829828</v>
      </c>
      <c r="I11">
        <f t="shared" ca="1" si="0"/>
        <v>462049</v>
      </c>
      <c r="J11">
        <f t="shared" ca="1" si="0"/>
        <v>859074</v>
      </c>
      <c r="K11">
        <f t="shared" ca="1" si="0"/>
        <v>918811</v>
      </c>
      <c r="L11">
        <f t="shared" ca="1" si="0"/>
        <v>603568</v>
      </c>
      <c r="M11">
        <f t="shared" ca="1" si="0"/>
        <v>237634</v>
      </c>
      <c r="N11">
        <f t="shared" ca="1" si="0"/>
        <v>877361</v>
      </c>
      <c r="O11">
        <f t="shared" ca="1" si="0"/>
        <v>843545</v>
      </c>
      <c r="P11" s="22">
        <f t="shared" ca="1" si="0"/>
        <v>736682</v>
      </c>
    </row>
    <row r="12" spans="1:16" x14ac:dyDescent="0.25">
      <c r="A12" s="31" t="s">
        <v>116</v>
      </c>
      <c r="B12">
        <f t="shared" ca="1" si="1"/>
        <v>393310</v>
      </c>
      <c r="C12">
        <f t="shared" ca="1" si="0"/>
        <v>749879</v>
      </c>
      <c r="D12">
        <f t="shared" ca="1" si="0"/>
        <v>25426</v>
      </c>
      <c r="E12">
        <f t="shared" ca="1" si="0"/>
        <v>253934</v>
      </c>
      <c r="F12">
        <f t="shared" ca="1" si="0"/>
        <v>42191</v>
      </c>
      <c r="G12">
        <f t="shared" ca="1" si="0"/>
        <v>546921</v>
      </c>
      <c r="H12">
        <f t="shared" ca="1" si="0"/>
        <v>903017</v>
      </c>
      <c r="I12">
        <f t="shared" ca="1" si="0"/>
        <v>749815</v>
      </c>
      <c r="J12">
        <f t="shared" ca="1" si="0"/>
        <v>432498</v>
      </c>
      <c r="K12">
        <f t="shared" ca="1" si="0"/>
        <v>916118</v>
      </c>
      <c r="L12">
        <f t="shared" ca="1" si="0"/>
        <v>536917</v>
      </c>
      <c r="M12">
        <f t="shared" ca="1" si="0"/>
        <v>999078</v>
      </c>
      <c r="N12">
        <f t="shared" ca="1" si="0"/>
        <v>816546</v>
      </c>
      <c r="O12">
        <f t="shared" ca="1" si="0"/>
        <v>503717</v>
      </c>
      <c r="P12" s="22">
        <f t="shared" ca="1" si="0"/>
        <v>285183</v>
      </c>
    </row>
    <row r="13" spans="1:16" x14ac:dyDescent="0.25">
      <c r="A13" s="31" t="s">
        <v>117</v>
      </c>
      <c r="B13">
        <f t="shared" ca="1" si="1"/>
        <v>908168</v>
      </c>
      <c r="C13">
        <f t="shared" ca="1" si="0"/>
        <v>246535</v>
      </c>
      <c r="D13">
        <f t="shared" ca="1" si="0"/>
        <v>98993</v>
      </c>
      <c r="E13">
        <f t="shared" ca="1" si="0"/>
        <v>709454</v>
      </c>
      <c r="F13">
        <f t="shared" ca="1" si="0"/>
        <v>478287</v>
      </c>
      <c r="G13">
        <f t="shared" ca="1" si="0"/>
        <v>889017</v>
      </c>
      <c r="H13">
        <f t="shared" ca="1" si="0"/>
        <v>515384</v>
      </c>
      <c r="I13">
        <f t="shared" ca="1" si="0"/>
        <v>698601</v>
      </c>
      <c r="J13">
        <f t="shared" ca="1" si="0"/>
        <v>819361</v>
      </c>
      <c r="K13">
        <f t="shared" ca="1" si="0"/>
        <v>631902</v>
      </c>
      <c r="L13">
        <f t="shared" ca="1" si="0"/>
        <v>621543</v>
      </c>
      <c r="M13">
        <f t="shared" ca="1" si="0"/>
        <v>905466</v>
      </c>
      <c r="N13">
        <f t="shared" ca="1" si="0"/>
        <v>181258</v>
      </c>
      <c r="O13">
        <f t="shared" ca="1" si="0"/>
        <v>286584</v>
      </c>
      <c r="P13" s="22">
        <f t="shared" ca="1" si="0"/>
        <v>414187</v>
      </c>
    </row>
    <row r="14" spans="1:16" x14ac:dyDescent="0.25">
      <c r="A14" s="31" t="s">
        <v>118</v>
      </c>
      <c r="B14">
        <f t="shared" ca="1" si="1"/>
        <v>648200</v>
      </c>
      <c r="C14">
        <f t="shared" ca="1" si="0"/>
        <v>741253</v>
      </c>
      <c r="D14">
        <f t="shared" ca="1" si="0"/>
        <v>279206</v>
      </c>
      <c r="E14">
        <f t="shared" ca="1" si="0"/>
        <v>130297</v>
      </c>
      <c r="F14">
        <f t="shared" ca="1" si="0"/>
        <v>26636</v>
      </c>
      <c r="G14">
        <f t="shared" ca="1" si="0"/>
        <v>488017</v>
      </c>
      <c r="H14">
        <f t="shared" ca="1" si="0"/>
        <v>692807</v>
      </c>
      <c r="I14">
        <f t="shared" ca="1" si="0"/>
        <v>518081</v>
      </c>
      <c r="J14">
        <f t="shared" ca="1" si="0"/>
        <v>879345</v>
      </c>
      <c r="K14">
        <f t="shared" ca="1" si="0"/>
        <v>171204</v>
      </c>
      <c r="L14">
        <f t="shared" ca="1" si="0"/>
        <v>471676</v>
      </c>
      <c r="M14">
        <f t="shared" ca="1" si="0"/>
        <v>860879</v>
      </c>
      <c r="N14">
        <f t="shared" ca="1" si="0"/>
        <v>46596</v>
      </c>
      <c r="O14">
        <f t="shared" ca="1" si="0"/>
        <v>357370</v>
      </c>
      <c r="P14" s="22">
        <f t="shared" ca="1" si="0"/>
        <v>862317</v>
      </c>
    </row>
    <row r="15" spans="1:16" x14ac:dyDescent="0.25">
      <c r="A15" s="31" t="s">
        <v>119</v>
      </c>
      <c r="B15">
        <f t="shared" ca="1" si="1"/>
        <v>408589</v>
      </c>
      <c r="C15">
        <f t="shared" ca="1" si="0"/>
        <v>904226</v>
      </c>
      <c r="D15">
        <f t="shared" ca="1" si="0"/>
        <v>800801</v>
      </c>
      <c r="E15">
        <f t="shared" ca="1" si="0"/>
        <v>45893</v>
      </c>
      <c r="F15">
        <f t="shared" ca="1" si="0"/>
        <v>645424</v>
      </c>
      <c r="G15">
        <f t="shared" ca="1" si="0"/>
        <v>680034</v>
      </c>
      <c r="H15">
        <f t="shared" ca="1" si="0"/>
        <v>865729</v>
      </c>
      <c r="I15">
        <f t="shared" ca="1" si="0"/>
        <v>807844</v>
      </c>
      <c r="J15">
        <f t="shared" ca="1" si="0"/>
        <v>308839</v>
      </c>
      <c r="K15">
        <f t="shared" ca="1" si="0"/>
        <v>925609</v>
      </c>
      <c r="L15">
        <f t="shared" ca="1" si="0"/>
        <v>30627</v>
      </c>
      <c r="M15">
        <f t="shared" ca="1" si="0"/>
        <v>849788</v>
      </c>
      <c r="N15">
        <f t="shared" ca="1" si="0"/>
        <v>6918</v>
      </c>
      <c r="O15">
        <f t="shared" ca="1" si="0"/>
        <v>526962</v>
      </c>
      <c r="P15" s="22">
        <f t="shared" ca="1" si="0"/>
        <v>889205</v>
      </c>
    </row>
    <row r="16" spans="1:16" x14ac:dyDescent="0.25">
      <c r="A16" s="32" t="s">
        <v>120</v>
      </c>
      <c r="B16" s="21">
        <f t="shared" ca="1" si="1"/>
        <v>314041</v>
      </c>
      <c r="C16" s="21">
        <f t="shared" ca="1" si="0"/>
        <v>843699</v>
      </c>
      <c r="D16" s="21">
        <f t="shared" ca="1" si="0"/>
        <v>982340</v>
      </c>
      <c r="E16" s="21">
        <f t="shared" ca="1" si="0"/>
        <v>418566</v>
      </c>
      <c r="F16" s="21">
        <f t="shared" ca="1" si="0"/>
        <v>382269</v>
      </c>
      <c r="G16" s="21">
        <f t="shared" ca="1" si="0"/>
        <v>51280</v>
      </c>
      <c r="H16" s="21">
        <f t="shared" ca="1" si="0"/>
        <v>722978</v>
      </c>
      <c r="I16" s="21">
        <f t="shared" ca="1" si="0"/>
        <v>206195</v>
      </c>
      <c r="J16" s="21">
        <f t="shared" ca="1" si="0"/>
        <v>138928</v>
      </c>
      <c r="K16" s="21">
        <f t="shared" ca="1" si="0"/>
        <v>241918</v>
      </c>
      <c r="L16" s="21">
        <f t="shared" ca="1" si="0"/>
        <v>941977</v>
      </c>
      <c r="M16" s="21">
        <f t="shared" ca="1" si="0"/>
        <v>847073</v>
      </c>
      <c r="N16" s="21">
        <f t="shared" ca="1" si="0"/>
        <v>629594</v>
      </c>
      <c r="O16" s="21">
        <f t="shared" ca="1" si="0"/>
        <v>893398</v>
      </c>
      <c r="P16" s="23">
        <f t="shared" ca="1" si="0"/>
        <v>355840</v>
      </c>
    </row>
    <row r="18" spans="3:5" x14ac:dyDescent="0.25">
      <c r="C18" s="5" t="s">
        <v>121</v>
      </c>
      <c r="D18" s="5"/>
      <c r="E18" s="5"/>
    </row>
    <row r="19" spans="3:5" x14ac:dyDescent="0.25">
      <c r="C19" s="24" t="s">
        <v>109</v>
      </c>
      <c r="D19">
        <v>2012</v>
      </c>
      <c r="E19" s="22">
        <f ca="1">VLOOKUP(C19,$A$2:$P$16,MATCH(D19,$A$1:$P$1,0),0)</f>
        <v>969291</v>
      </c>
    </row>
    <row r="20" spans="3:5" x14ac:dyDescent="0.25">
      <c r="C20" s="24" t="s">
        <v>113</v>
      </c>
      <c r="D20">
        <v>2021</v>
      </c>
      <c r="E20" s="22">
        <f t="shared" ref="E20:E23" ca="1" si="2">VLOOKUP(C20,$A$2:$P$16,MATCH(D20,$A$1:$P$1,0),0)</f>
        <v>367485</v>
      </c>
    </row>
    <row r="21" spans="3:5" x14ac:dyDescent="0.25">
      <c r="C21" s="24" t="s">
        <v>112</v>
      </c>
      <c r="D21">
        <v>2013</v>
      </c>
      <c r="E21" s="22">
        <f t="shared" ca="1" si="2"/>
        <v>294867</v>
      </c>
    </row>
    <row r="22" spans="3:5" x14ac:dyDescent="0.25">
      <c r="C22" s="24" t="s">
        <v>112</v>
      </c>
      <c r="D22">
        <v>2018</v>
      </c>
      <c r="E22" s="22">
        <f t="shared" ca="1" si="2"/>
        <v>826595</v>
      </c>
    </row>
    <row r="23" spans="3:5" x14ac:dyDescent="0.25">
      <c r="C23" s="25" t="s">
        <v>112</v>
      </c>
      <c r="D23" s="21">
        <v>2019</v>
      </c>
      <c r="E23" s="23">
        <f t="shared" ca="1" si="2"/>
        <v>201250</v>
      </c>
    </row>
  </sheetData>
  <dataValidations count="2">
    <dataValidation type="list" allowBlank="1" showInputMessage="1" showErrorMessage="1" sqref="C19:C23" xr:uid="{00000000-0002-0000-0600-000000000000}">
      <formula1>$A$2:$A$16</formula1>
    </dataValidation>
    <dataValidation type="list" allowBlank="1" showInputMessage="1" showErrorMessage="1" sqref="D19:D23" xr:uid="{00000000-0002-0000-0600-000001000000}">
      <formula1>$B$1:$P$1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Ayush Tuladhar</cp:lastModifiedBy>
  <dcterms:created xsi:type="dcterms:W3CDTF">2024-02-13T07:51:09Z</dcterms:created>
  <dcterms:modified xsi:type="dcterms:W3CDTF">2024-03-17T12:15:47Z</dcterms:modified>
</cp:coreProperties>
</file>